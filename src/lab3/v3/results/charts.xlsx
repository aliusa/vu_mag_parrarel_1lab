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$\Ubuntu\data\www_me\vu_java\parallel\src\lab3\v3\results\"/>
    </mc:Choice>
  </mc:AlternateContent>
  <xr:revisionPtr revIDLastSave="0" documentId="13_ncr:1_{52E072F6-55DC-43E0-8566-FBB251317279}" xr6:coauthVersionLast="47" xr6:coauthVersionMax="47" xr10:uidLastSave="{00000000-0000-0000-0000-000000000000}"/>
  <bookViews>
    <workbookView xWindow="-120" yWindow="-120" windowWidth="51840" windowHeight="21240" xr2:uid="{3B0F670E-E01A-4267-849E-8CF26EF91A7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1" l="1"/>
  <c r="I15" i="1" s="1"/>
  <c r="I125" i="1"/>
  <c r="H125" i="1"/>
  <c r="G125" i="1"/>
  <c r="F125" i="1"/>
  <c r="E125" i="1"/>
  <c r="D125" i="1"/>
  <c r="C125" i="1"/>
  <c r="I114" i="1"/>
  <c r="D113" i="1"/>
  <c r="E113" i="1"/>
  <c r="F113" i="1"/>
  <c r="G113" i="1"/>
  <c r="H113" i="1"/>
  <c r="I113" i="1"/>
  <c r="D114" i="1"/>
  <c r="E114" i="1"/>
  <c r="F114" i="1"/>
  <c r="G114" i="1"/>
  <c r="H114" i="1"/>
  <c r="D115" i="1"/>
  <c r="E115" i="1"/>
  <c r="F115" i="1"/>
  <c r="G115" i="1"/>
  <c r="H115" i="1"/>
  <c r="I115" i="1"/>
  <c r="D116" i="1"/>
  <c r="E116" i="1"/>
  <c r="F116" i="1"/>
  <c r="G116" i="1"/>
  <c r="H116" i="1"/>
  <c r="I116" i="1"/>
  <c r="D117" i="1"/>
  <c r="E117" i="1"/>
  <c r="F117" i="1"/>
  <c r="G117" i="1"/>
  <c r="H117" i="1"/>
  <c r="I117" i="1"/>
  <c r="D118" i="1"/>
  <c r="E118" i="1"/>
  <c r="F118" i="1"/>
  <c r="G118" i="1"/>
  <c r="H118" i="1"/>
  <c r="I118" i="1"/>
  <c r="D119" i="1"/>
  <c r="E119" i="1"/>
  <c r="F119" i="1"/>
  <c r="G119" i="1"/>
  <c r="H119" i="1"/>
  <c r="I119" i="1"/>
  <c r="D120" i="1"/>
  <c r="E120" i="1"/>
  <c r="F120" i="1"/>
  <c r="G120" i="1"/>
  <c r="H120" i="1"/>
  <c r="I120" i="1"/>
  <c r="D121" i="1"/>
  <c r="E121" i="1"/>
  <c r="F121" i="1"/>
  <c r="G121" i="1"/>
  <c r="H121" i="1"/>
  <c r="I121" i="1"/>
  <c r="D122" i="1"/>
  <c r="E122" i="1"/>
  <c r="F122" i="1"/>
  <c r="G122" i="1"/>
  <c r="H122" i="1"/>
  <c r="I122" i="1"/>
  <c r="D123" i="1"/>
  <c r="E123" i="1"/>
  <c r="F123" i="1"/>
  <c r="G123" i="1"/>
  <c r="H123" i="1"/>
  <c r="I123" i="1"/>
  <c r="D124" i="1"/>
  <c r="E124" i="1"/>
  <c r="F124" i="1"/>
  <c r="G124" i="1"/>
  <c r="H124" i="1"/>
  <c r="I124" i="1"/>
  <c r="C114" i="1"/>
  <c r="C115" i="1"/>
  <c r="C116" i="1"/>
  <c r="C117" i="1"/>
  <c r="C118" i="1"/>
  <c r="C119" i="1"/>
  <c r="C120" i="1"/>
  <c r="C121" i="1"/>
  <c r="C122" i="1"/>
  <c r="C123" i="1"/>
  <c r="C124" i="1"/>
  <c r="C113" i="1"/>
  <c r="B114" i="1"/>
  <c r="B115" i="1"/>
  <c r="B116" i="1"/>
  <c r="B117" i="1"/>
  <c r="B118" i="1"/>
  <c r="B119" i="1"/>
  <c r="B120" i="1"/>
  <c r="B121" i="1"/>
  <c r="B122" i="1"/>
  <c r="B123" i="1"/>
  <c r="B124" i="1"/>
  <c r="B113" i="1"/>
  <c r="A114" i="1"/>
  <c r="A115" i="1"/>
  <c r="A116" i="1"/>
  <c r="A117" i="1"/>
  <c r="A118" i="1"/>
  <c r="A119" i="1"/>
  <c r="A120" i="1"/>
  <c r="A121" i="1"/>
  <c r="A122" i="1"/>
  <c r="A123" i="1"/>
  <c r="A124" i="1"/>
  <c r="A113" i="1"/>
  <c r="A112" i="1"/>
  <c r="D15" i="1" l="1"/>
  <c r="E15" i="1"/>
  <c r="F15" i="1"/>
  <c r="G15" i="1"/>
  <c r="H15" i="1"/>
  <c r="C15" i="1"/>
</calcChain>
</file>

<file path=xl/sharedStrings.xml><?xml version="1.0" encoding="utf-8"?>
<sst xmlns="http://schemas.openxmlformats.org/spreadsheetml/2006/main" count="33" uniqueCount="26">
  <si>
    <t xml:space="preserve"> Masyvo dydis      </t>
  </si>
  <si>
    <t>1 gija</t>
  </si>
  <si>
    <t>2 gijos</t>
  </si>
  <si>
    <t>3 gijos</t>
  </si>
  <si>
    <t>4 gijos</t>
  </si>
  <si>
    <t>6 gijos</t>
  </si>
  <si>
    <t>8 gijos</t>
  </si>
  <si>
    <t>16 gijos</t>
  </si>
  <si>
    <t>32 gijos</t>
  </si>
  <si>
    <t>Greitis (ms)</t>
  </si>
  <si>
    <t>16 gijų</t>
  </si>
  <si>
    <t>Pokytis nuo 1 gijos (%)</t>
  </si>
  <si>
    <t>idealus</t>
  </si>
  <si>
    <t>2^25 idealus</t>
  </si>
  <si>
    <t xml:space="preserve">2^14 (16384)      </t>
  </si>
  <si>
    <t xml:space="preserve">2^15 (32768)      </t>
  </si>
  <si>
    <t xml:space="preserve">2^16 (65536)      </t>
  </si>
  <si>
    <t xml:space="preserve">2^17 (131072)     </t>
  </si>
  <si>
    <t xml:space="preserve">2^18 (262144)     </t>
  </si>
  <si>
    <t xml:space="preserve">2^19 (524288)     </t>
  </si>
  <si>
    <t xml:space="preserve">2^20 (1048576)    </t>
  </si>
  <si>
    <t xml:space="preserve">2^21 (2097152)    </t>
  </si>
  <si>
    <t xml:space="preserve">2^22 (4194304)    </t>
  </si>
  <si>
    <t xml:space="preserve">2^23 (8388608)    </t>
  </si>
  <si>
    <t xml:space="preserve">2^24 (16777216)   </t>
  </si>
  <si>
    <t xml:space="preserve">2^25 (33554432)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</si>
</sst>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186"/>
      <scheme val="minor"/>
    </font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3">
    <xf numFmtId="0" fontId="0" fillId="0" borderId="0" xfId="0"/>
    <xf numFmtId="9" fontId="0" fillId="0" borderId="0" xfId="1" applyFont="1" applyBorder="1"/>
    <xf numFmtId="9" fontId="0" fillId="0" borderId="2" xfId="1" applyFont="1" applyBorder="1"/>
    <xf numFmtId="9" fontId="0" fillId="0" borderId="3" xfId="1" applyFont="1" applyBorder="1"/>
    <xf numFmtId="9" fontId="0" fillId="0" borderId="4" xfId="1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/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 applyAlignment="1"/>
    <xf numFmtId="9" fontId="0" fillId="0" borderId="0" xfId="0" applyNumberFormat="1"/>
    <xf numFmtId="0" fontId="0" fillId="0" borderId="0" xfId="0" applyBorder="1"/>
    <xf numFmtId="9" fontId="0" fillId="0" borderId="8" xfId="1" applyFont="1" applyBorder="1"/>
    <xf numFmtId="9" fontId="0" fillId="0" borderId="3" xfId="0" applyNumberFormat="1" applyBorder="1"/>
    <xf numFmtId="9" fontId="0" fillId="0" borderId="4" xfId="0" applyNumberFormat="1" applyBorder="1"/>
    <xf numFmtId="1" fontId="0" fillId="0" borderId="3" xfId="0" applyNumberFormat="1" applyBorder="1"/>
    <xf numFmtId="1" fontId="0" fillId="0" borderId="3" xfId="1" applyNumberFormat="1" applyFont="1" applyBorder="1"/>
    <xf numFmtId="1" fontId="0" fillId="0" borderId="4" xfId="1" applyNumberFormat="1" applyFont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Sheet1!$A$3</c:f>
              <c:strCache>
                <c:ptCount val="1"/>
                <c:pt idx="0">
                  <c:v>2^14 (16384)     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t-LT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Sheet1!$B$2:$I$2</c:f>
              <c:strCache>
                <c:ptCount val="8"/>
                <c:pt idx="0">
                  <c:v>1 gija</c:v>
                </c:pt>
                <c:pt idx="1">
                  <c:v>2 gijos</c:v>
                </c:pt>
                <c:pt idx="2">
                  <c:v>3 gijos</c:v>
                </c:pt>
                <c:pt idx="3">
                  <c:v>4 gijos</c:v>
                </c:pt>
                <c:pt idx="4">
                  <c:v>6 gijos</c:v>
                </c:pt>
                <c:pt idx="5">
                  <c:v>8 gijos</c:v>
                </c:pt>
                <c:pt idx="6">
                  <c:v>16 gijų</c:v>
                </c:pt>
                <c:pt idx="7">
                  <c:v>32 gijos</c:v>
                </c:pt>
              </c:strCache>
            </c:strRef>
          </c:cat>
          <c:val>
            <c:numRef>
              <c:f>Sheet1!$B$3:$I$3</c:f>
              <c:numCache>
                <c:formatCode>General</c:formatCode>
                <c:ptCount val="8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EC-4663-B099-B7F5A19A241B}"/>
            </c:ext>
          </c:extLst>
        </c:ser>
        <c:ser>
          <c:idx val="1"/>
          <c:order val="1"/>
          <c:tx>
            <c:strRef>
              <c:f>Sheet1!$A$4</c:f>
              <c:strCache>
                <c:ptCount val="1"/>
                <c:pt idx="0">
                  <c:v>2^15 (32768)     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t-L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Sheet1!$B$2:$I$2</c:f>
              <c:strCache>
                <c:ptCount val="8"/>
                <c:pt idx="0">
                  <c:v>1 gija</c:v>
                </c:pt>
                <c:pt idx="1">
                  <c:v>2 gijos</c:v>
                </c:pt>
                <c:pt idx="2">
                  <c:v>3 gijos</c:v>
                </c:pt>
                <c:pt idx="3">
                  <c:v>4 gijos</c:v>
                </c:pt>
                <c:pt idx="4">
                  <c:v>6 gijos</c:v>
                </c:pt>
                <c:pt idx="5">
                  <c:v>8 gijos</c:v>
                </c:pt>
                <c:pt idx="6">
                  <c:v>16 gijų</c:v>
                </c:pt>
                <c:pt idx="7">
                  <c:v>32 gijos</c:v>
                </c:pt>
              </c:strCache>
            </c:strRef>
          </c:cat>
          <c:val>
            <c:numRef>
              <c:f>Sheet1!$B$4:$I$4</c:f>
              <c:numCache>
                <c:formatCode>General</c:formatCode>
                <c:ptCount val="8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CEC-4663-B099-B7F5A19A241B}"/>
            </c:ext>
          </c:extLst>
        </c:ser>
        <c:ser>
          <c:idx val="2"/>
          <c:order val="2"/>
          <c:tx>
            <c:strRef>
              <c:f>Sheet1!$A$5</c:f>
              <c:strCache>
                <c:ptCount val="1"/>
                <c:pt idx="0">
                  <c:v>2^16 (65536)     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t-L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Sheet1!$B$2:$I$2</c:f>
              <c:strCache>
                <c:ptCount val="8"/>
                <c:pt idx="0">
                  <c:v>1 gija</c:v>
                </c:pt>
                <c:pt idx="1">
                  <c:v>2 gijos</c:v>
                </c:pt>
                <c:pt idx="2">
                  <c:v>3 gijos</c:v>
                </c:pt>
                <c:pt idx="3">
                  <c:v>4 gijos</c:v>
                </c:pt>
                <c:pt idx="4">
                  <c:v>6 gijos</c:v>
                </c:pt>
                <c:pt idx="5">
                  <c:v>8 gijos</c:v>
                </c:pt>
                <c:pt idx="6">
                  <c:v>16 gijų</c:v>
                </c:pt>
                <c:pt idx="7">
                  <c:v>32 gijos</c:v>
                </c:pt>
              </c:strCache>
            </c:strRef>
          </c:cat>
          <c:val>
            <c:numRef>
              <c:f>Sheet1!$B$5:$I$5</c:f>
              <c:numCache>
                <c:formatCode>General</c:formatCode>
                <c:ptCount val="8"/>
                <c:pt idx="0">
                  <c:v>5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2</c:v>
                </c:pt>
                <c:pt idx="5">
                  <c:v>2</c:v>
                </c:pt>
                <c:pt idx="6">
                  <c:v>3</c:v>
                </c:pt>
                <c:pt idx="7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CEC-4663-B099-B7F5A19A241B}"/>
            </c:ext>
          </c:extLst>
        </c:ser>
        <c:ser>
          <c:idx val="3"/>
          <c:order val="3"/>
          <c:tx>
            <c:strRef>
              <c:f>Sheet1!$A$6</c:f>
              <c:strCache>
                <c:ptCount val="1"/>
                <c:pt idx="0">
                  <c:v>2^17 (131072)    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t-L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Sheet1!$B$2:$I$2</c:f>
              <c:strCache>
                <c:ptCount val="8"/>
                <c:pt idx="0">
                  <c:v>1 gija</c:v>
                </c:pt>
                <c:pt idx="1">
                  <c:v>2 gijos</c:v>
                </c:pt>
                <c:pt idx="2">
                  <c:v>3 gijos</c:v>
                </c:pt>
                <c:pt idx="3">
                  <c:v>4 gijos</c:v>
                </c:pt>
                <c:pt idx="4">
                  <c:v>6 gijos</c:v>
                </c:pt>
                <c:pt idx="5">
                  <c:v>8 gijos</c:v>
                </c:pt>
                <c:pt idx="6">
                  <c:v>16 gijų</c:v>
                </c:pt>
                <c:pt idx="7">
                  <c:v>32 gijos</c:v>
                </c:pt>
              </c:strCache>
            </c:strRef>
          </c:cat>
          <c:val>
            <c:numRef>
              <c:f>Sheet1!$B$6:$I$6</c:f>
              <c:numCache>
                <c:formatCode>General</c:formatCode>
                <c:ptCount val="8"/>
                <c:pt idx="0">
                  <c:v>12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CEC-4663-B099-B7F5A19A241B}"/>
            </c:ext>
          </c:extLst>
        </c:ser>
        <c:ser>
          <c:idx val="4"/>
          <c:order val="4"/>
          <c:tx>
            <c:strRef>
              <c:f>Sheet1!$A$7</c:f>
              <c:strCache>
                <c:ptCount val="1"/>
                <c:pt idx="0">
                  <c:v>2^18 (262144)    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t-L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Sheet1!$B$2:$I$2</c:f>
              <c:strCache>
                <c:ptCount val="8"/>
                <c:pt idx="0">
                  <c:v>1 gija</c:v>
                </c:pt>
                <c:pt idx="1">
                  <c:v>2 gijos</c:v>
                </c:pt>
                <c:pt idx="2">
                  <c:v>3 gijos</c:v>
                </c:pt>
                <c:pt idx="3">
                  <c:v>4 gijos</c:v>
                </c:pt>
                <c:pt idx="4">
                  <c:v>6 gijos</c:v>
                </c:pt>
                <c:pt idx="5">
                  <c:v>8 gijos</c:v>
                </c:pt>
                <c:pt idx="6">
                  <c:v>16 gijų</c:v>
                </c:pt>
                <c:pt idx="7">
                  <c:v>32 gijos</c:v>
                </c:pt>
              </c:strCache>
            </c:strRef>
          </c:cat>
          <c:val>
            <c:numRef>
              <c:f>Sheet1!$B$7:$I$7</c:f>
              <c:numCache>
                <c:formatCode>General</c:formatCode>
                <c:ptCount val="8"/>
                <c:pt idx="0">
                  <c:v>23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8</c:v>
                </c:pt>
                <c:pt idx="5">
                  <c:v>8</c:v>
                </c:pt>
                <c:pt idx="6">
                  <c:v>7</c:v>
                </c:pt>
                <c:pt idx="7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CEC-4663-B099-B7F5A19A241B}"/>
            </c:ext>
          </c:extLst>
        </c:ser>
        <c:ser>
          <c:idx val="5"/>
          <c:order val="5"/>
          <c:tx>
            <c:strRef>
              <c:f>Sheet1!$A$8</c:f>
              <c:strCache>
                <c:ptCount val="1"/>
                <c:pt idx="0">
                  <c:v>2^19 (524288)    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t-L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Sheet1!$B$2:$I$2</c:f>
              <c:strCache>
                <c:ptCount val="8"/>
                <c:pt idx="0">
                  <c:v>1 gija</c:v>
                </c:pt>
                <c:pt idx="1">
                  <c:v>2 gijos</c:v>
                </c:pt>
                <c:pt idx="2">
                  <c:v>3 gijos</c:v>
                </c:pt>
                <c:pt idx="3">
                  <c:v>4 gijos</c:v>
                </c:pt>
                <c:pt idx="4">
                  <c:v>6 gijos</c:v>
                </c:pt>
                <c:pt idx="5">
                  <c:v>8 gijos</c:v>
                </c:pt>
                <c:pt idx="6">
                  <c:v>16 gijų</c:v>
                </c:pt>
                <c:pt idx="7">
                  <c:v>32 gijos</c:v>
                </c:pt>
              </c:strCache>
            </c:strRef>
          </c:cat>
          <c:val>
            <c:numRef>
              <c:f>Sheet1!$B$8:$I$8</c:f>
              <c:numCache>
                <c:formatCode>General</c:formatCode>
                <c:ptCount val="8"/>
                <c:pt idx="0">
                  <c:v>54</c:v>
                </c:pt>
                <c:pt idx="1">
                  <c:v>30</c:v>
                </c:pt>
                <c:pt idx="2">
                  <c:v>26</c:v>
                </c:pt>
                <c:pt idx="3">
                  <c:v>29</c:v>
                </c:pt>
                <c:pt idx="4">
                  <c:v>16</c:v>
                </c:pt>
                <c:pt idx="5">
                  <c:v>15</c:v>
                </c:pt>
                <c:pt idx="6">
                  <c:v>12</c:v>
                </c:pt>
                <c:pt idx="7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CEC-4663-B099-B7F5A19A241B}"/>
            </c:ext>
          </c:extLst>
        </c:ser>
        <c:ser>
          <c:idx val="6"/>
          <c:order val="6"/>
          <c:tx>
            <c:strRef>
              <c:f>Sheet1!$A$9</c:f>
              <c:strCache>
                <c:ptCount val="1"/>
                <c:pt idx="0">
                  <c:v>2^20 (1048576)   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t-L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Sheet1!$B$2:$I$2</c:f>
              <c:strCache>
                <c:ptCount val="8"/>
                <c:pt idx="0">
                  <c:v>1 gija</c:v>
                </c:pt>
                <c:pt idx="1">
                  <c:v>2 gijos</c:v>
                </c:pt>
                <c:pt idx="2">
                  <c:v>3 gijos</c:v>
                </c:pt>
                <c:pt idx="3">
                  <c:v>4 gijos</c:v>
                </c:pt>
                <c:pt idx="4">
                  <c:v>6 gijos</c:v>
                </c:pt>
                <c:pt idx="5">
                  <c:v>8 gijos</c:v>
                </c:pt>
                <c:pt idx="6">
                  <c:v>16 gijų</c:v>
                </c:pt>
                <c:pt idx="7">
                  <c:v>32 gijos</c:v>
                </c:pt>
              </c:strCache>
            </c:strRef>
          </c:cat>
          <c:val>
            <c:numRef>
              <c:f>Sheet1!$B$9:$I$9</c:f>
              <c:numCache>
                <c:formatCode>General</c:formatCode>
                <c:ptCount val="8"/>
                <c:pt idx="0">
                  <c:v>112</c:v>
                </c:pt>
                <c:pt idx="1">
                  <c:v>58</c:v>
                </c:pt>
                <c:pt idx="2">
                  <c:v>53</c:v>
                </c:pt>
                <c:pt idx="3">
                  <c:v>58</c:v>
                </c:pt>
                <c:pt idx="4">
                  <c:v>33</c:v>
                </c:pt>
                <c:pt idx="5">
                  <c:v>34</c:v>
                </c:pt>
                <c:pt idx="6">
                  <c:v>23</c:v>
                </c:pt>
                <c:pt idx="7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CEC-4663-B099-B7F5A19A241B}"/>
            </c:ext>
          </c:extLst>
        </c:ser>
        <c:ser>
          <c:idx val="7"/>
          <c:order val="7"/>
          <c:tx>
            <c:strRef>
              <c:f>Sheet1!$A$10</c:f>
              <c:strCache>
                <c:ptCount val="1"/>
                <c:pt idx="0">
                  <c:v>2^21 (2097152)   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t-L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Sheet1!$B$2:$I$2</c:f>
              <c:strCache>
                <c:ptCount val="8"/>
                <c:pt idx="0">
                  <c:v>1 gija</c:v>
                </c:pt>
                <c:pt idx="1">
                  <c:v>2 gijos</c:v>
                </c:pt>
                <c:pt idx="2">
                  <c:v>3 gijos</c:v>
                </c:pt>
                <c:pt idx="3">
                  <c:v>4 gijos</c:v>
                </c:pt>
                <c:pt idx="4">
                  <c:v>6 gijos</c:v>
                </c:pt>
                <c:pt idx="5">
                  <c:v>8 gijos</c:v>
                </c:pt>
                <c:pt idx="6">
                  <c:v>16 gijų</c:v>
                </c:pt>
                <c:pt idx="7">
                  <c:v>32 gijos</c:v>
                </c:pt>
              </c:strCache>
            </c:strRef>
          </c:cat>
          <c:val>
            <c:numRef>
              <c:f>Sheet1!$B$10:$I$10</c:f>
              <c:numCache>
                <c:formatCode>General</c:formatCode>
                <c:ptCount val="8"/>
                <c:pt idx="0">
                  <c:v>205</c:v>
                </c:pt>
                <c:pt idx="1">
                  <c:v>111</c:v>
                </c:pt>
                <c:pt idx="2">
                  <c:v>118</c:v>
                </c:pt>
                <c:pt idx="3">
                  <c:v>110</c:v>
                </c:pt>
                <c:pt idx="4">
                  <c:v>68</c:v>
                </c:pt>
                <c:pt idx="5">
                  <c:v>63</c:v>
                </c:pt>
                <c:pt idx="6">
                  <c:v>42</c:v>
                </c:pt>
                <c:pt idx="7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CEC-4663-B099-B7F5A19A241B}"/>
            </c:ext>
          </c:extLst>
        </c:ser>
        <c:ser>
          <c:idx val="8"/>
          <c:order val="8"/>
          <c:tx>
            <c:strRef>
              <c:f>Sheet1!$A$11</c:f>
              <c:strCache>
                <c:ptCount val="1"/>
                <c:pt idx="0">
                  <c:v>2^22 (4194304)   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t-L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Sheet1!$B$2:$I$2</c:f>
              <c:strCache>
                <c:ptCount val="8"/>
                <c:pt idx="0">
                  <c:v>1 gija</c:v>
                </c:pt>
                <c:pt idx="1">
                  <c:v>2 gijos</c:v>
                </c:pt>
                <c:pt idx="2">
                  <c:v>3 gijos</c:v>
                </c:pt>
                <c:pt idx="3">
                  <c:v>4 gijos</c:v>
                </c:pt>
                <c:pt idx="4">
                  <c:v>6 gijos</c:v>
                </c:pt>
                <c:pt idx="5">
                  <c:v>8 gijos</c:v>
                </c:pt>
                <c:pt idx="6">
                  <c:v>16 gijų</c:v>
                </c:pt>
                <c:pt idx="7">
                  <c:v>32 gijos</c:v>
                </c:pt>
              </c:strCache>
            </c:strRef>
          </c:cat>
          <c:val>
            <c:numRef>
              <c:f>Sheet1!$B$11:$I$11</c:f>
              <c:numCache>
                <c:formatCode>General</c:formatCode>
                <c:ptCount val="8"/>
                <c:pt idx="0">
                  <c:v>429</c:v>
                </c:pt>
                <c:pt idx="1">
                  <c:v>218</c:v>
                </c:pt>
                <c:pt idx="2">
                  <c:v>233</c:v>
                </c:pt>
                <c:pt idx="3">
                  <c:v>220</c:v>
                </c:pt>
                <c:pt idx="4">
                  <c:v>138</c:v>
                </c:pt>
                <c:pt idx="5">
                  <c:v>130</c:v>
                </c:pt>
                <c:pt idx="6">
                  <c:v>82</c:v>
                </c:pt>
                <c:pt idx="7">
                  <c:v>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CEC-4663-B099-B7F5A19A241B}"/>
            </c:ext>
          </c:extLst>
        </c:ser>
        <c:ser>
          <c:idx val="9"/>
          <c:order val="9"/>
          <c:tx>
            <c:strRef>
              <c:f>Sheet1!$A$12</c:f>
              <c:strCache>
                <c:ptCount val="1"/>
                <c:pt idx="0">
                  <c:v>2^23 (8388608)   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t-L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Sheet1!$B$2:$I$2</c:f>
              <c:strCache>
                <c:ptCount val="8"/>
                <c:pt idx="0">
                  <c:v>1 gija</c:v>
                </c:pt>
                <c:pt idx="1">
                  <c:v>2 gijos</c:v>
                </c:pt>
                <c:pt idx="2">
                  <c:v>3 gijos</c:v>
                </c:pt>
                <c:pt idx="3">
                  <c:v>4 gijos</c:v>
                </c:pt>
                <c:pt idx="4">
                  <c:v>6 gijos</c:v>
                </c:pt>
                <c:pt idx="5">
                  <c:v>8 gijos</c:v>
                </c:pt>
                <c:pt idx="6">
                  <c:v>16 gijų</c:v>
                </c:pt>
                <c:pt idx="7">
                  <c:v>32 gijos</c:v>
                </c:pt>
              </c:strCache>
            </c:strRef>
          </c:cat>
          <c:val>
            <c:numRef>
              <c:f>Sheet1!$B$12:$I$12</c:f>
              <c:numCache>
                <c:formatCode>General</c:formatCode>
                <c:ptCount val="8"/>
                <c:pt idx="0">
                  <c:v>940</c:v>
                </c:pt>
                <c:pt idx="1">
                  <c:v>501</c:v>
                </c:pt>
                <c:pt idx="2">
                  <c:v>481</c:v>
                </c:pt>
                <c:pt idx="3">
                  <c:v>505</c:v>
                </c:pt>
                <c:pt idx="4">
                  <c:v>271</c:v>
                </c:pt>
                <c:pt idx="5">
                  <c:v>282</c:v>
                </c:pt>
                <c:pt idx="6">
                  <c:v>175</c:v>
                </c:pt>
                <c:pt idx="7">
                  <c:v>129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CEC-4663-B099-B7F5A19A241B}"/>
            </c:ext>
          </c:extLst>
        </c:ser>
        <c:ser>
          <c:idx val="10"/>
          <c:order val="10"/>
          <c:tx>
            <c:strRef>
              <c:f>Sheet1!$A$13</c:f>
              <c:strCache>
                <c:ptCount val="1"/>
                <c:pt idx="0">
                  <c:v>2^24 (16777216)   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t-L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Sheet1!$B$2:$I$2</c:f>
              <c:strCache>
                <c:ptCount val="8"/>
                <c:pt idx="0">
                  <c:v>1 gija</c:v>
                </c:pt>
                <c:pt idx="1">
                  <c:v>2 gijos</c:v>
                </c:pt>
                <c:pt idx="2">
                  <c:v>3 gijos</c:v>
                </c:pt>
                <c:pt idx="3">
                  <c:v>4 gijos</c:v>
                </c:pt>
                <c:pt idx="4">
                  <c:v>6 gijos</c:v>
                </c:pt>
                <c:pt idx="5">
                  <c:v>8 gijos</c:v>
                </c:pt>
                <c:pt idx="6">
                  <c:v>16 gijų</c:v>
                </c:pt>
                <c:pt idx="7">
                  <c:v>32 gijos</c:v>
                </c:pt>
              </c:strCache>
            </c:strRef>
          </c:cat>
          <c:val>
            <c:numRef>
              <c:f>Sheet1!$B$13:$I$13</c:f>
              <c:numCache>
                <c:formatCode>General</c:formatCode>
                <c:ptCount val="8"/>
                <c:pt idx="0">
                  <c:v>1941</c:v>
                </c:pt>
                <c:pt idx="1">
                  <c:v>1005</c:v>
                </c:pt>
                <c:pt idx="2">
                  <c:v>978</c:v>
                </c:pt>
                <c:pt idx="3">
                  <c:v>999</c:v>
                </c:pt>
                <c:pt idx="4">
                  <c:v>560</c:v>
                </c:pt>
                <c:pt idx="5">
                  <c:v>557</c:v>
                </c:pt>
                <c:pt idx="6">
                  <c:v>353</c:v>
                </c:pt>
                <c:pt idx="7">
                  <c:v>269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CEC-4663-B099-B7F5A19A241B}"/>
            </c:ext>
          </c:extLst>
        </c:ser>
        <c:ser>
          <c:idx val="11"/>
          <c:order val="11"/>
          <c:tx>
            <c:strRef>
              <c:f>Sheet1!$A$14</c:f>
              <c:strCache>
                <c:ptCount val="1"/>
                <c:pt idx="0">
                  <c:v>2^25 (33554432)   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t-L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Sheet1!$B$2:$I$2</c:f>
              <c:strCache>
                <c:ptCount val="8"/>
                <c:pt idx="0">
                  <c:v>1 gija</c:v>
                </c:pt>
                <c:pt idx="1">
                  <c:v>2 gijos</c:v>
                </c:pt>
                <c:pt idx="2">
                  <c:v>3 gijos</c:v>
                </c:pt>
                <c:pt idx="3">
                  <c:v>4 gijos</c:v>
                </c:pt>
                <c:pt idx="4">
                  <c:v>6 gijos</c:v>
                </c:pt>
                <c:pt idx="5">
                  <c:v>8 gijos</c:v>
                </c:pt>
                <c:pt idx="6">
                  <c:v>16 gijų</c:v>
                </c:pt>
                <c:pt idx="7">
                  <c:v>32 gijos</c:v>
                </c:pt>
              </c:strCache>
            </c:strRef>
          </c:cat>
          <c:val>
            <c:numRef>
              <c:f>Sheet1!$B$14:$I$14</c:f>
              <c:numCache>
                <c:formatCode>General</c:formatCode>
                <c:ptCount val="8"/>
                <c:pt idx="0">
                  <c:v>3920</c:v>
                </c:pt>
                <c:pt idx="1">
                  <c:v>2066</c:v>
                </c:pt>
                <c:pt idx="2">
                  <c:v>2057</c:v>
                </c:pt>
                <c:pt idx="3">
                  <c:v>2061</c:v>
                </c:pt>
                <c:pt idx="4">
                  <c:v>1134</c:v>
                </c:pt>
                <c:pt idx="5">
                  <c:v>1168</c:v>
                </c:pt>
                <c:pt idx="6">
                  <c:v>720</c:v>
                </c:pt>
                <c:pt idx="7">
                  <c:v>558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CEC-4663-B099-B7F5A19A24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3012367"/>
        <c:axId val="1273012783"/>
      </c:lineChart>
      <c:catAx>
        <c:axId val="12730123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t-L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t-LT"/>
          </a:p>
        </c:txPr>
        <c:crossAx val="1273012783"/>
        <c:crosses val="autoZero"/>
        <c:auto val="1"/>
        <c:lblAlgn val="ctr"/>
        <c:lblOffset val="100"/>
        <c:noMultiLvlLbl val="0"/>
      </c:catAx>
      <c:valAx>
        <c:axId val="1273012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ms</a:t>
                </a:r>
                <a:endParaRPr lang="lt-LT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t-L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t-LT"/>
          </a:p>
        </c:txPr>
        <c:crossAx val="1273012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t-LT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t-L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Pokytis nuo 1 gijos</a:t>
            </a:r>
            <a:r>
              <a:rPr lang="lt-LT"/>
              <a:t> (mažiau yra geriau)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t-L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Sheet1!$A$113</c:f>
              <c:strCache>
                <c:ptCount val="1"/>
                <c:pt idx="0">
                  <c:v>2^14 (16384)     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Sheet1!$B$112:$I$112</c:f>
              <c:strCache>
                <c:ptCount val="8"/>
                <c:pt idx="0">
                  <c:v>1 gija</c:v>
                </c:pt>
                <c:pt idx="1">
                  <c:v>2 gijos</c:v>
                </c:pt>
                <c:pt idx="2">
                  <c:v>3 gijos</c:v>
                </c:pt>
                <c:pt idx="3">
                  <c:v>4 gijos</c:v>
                </c:pt>
                <c:pt idx="4">
                  <c:v>6 gijos</c:v>
                </c:pt>
                <c:pt idx="5">
                  <c:v>8 gijos</c:v>
                </c:pt>
                <c:pt idx="6">
                  <c:v>16 gijos</c:v>
                </c:pt>
                <c:pt idx="7">
                  <c:v>32 gijos</c:v>
                </c:pt>
              </c:strCache>
            </c:strRef>
          </c:cat>
          <c:val>
            <c:numRef>
              <c:f>Sheet1!$B$113:$I$113</c:f>
              <c:numCache>
                <c:formatCode>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-1</c:v>
                </c:pt>
                <c:pt idx="3">
                  <c:v>-1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799-8600-847E4F0127D1}"/>
            </c:ext>
          </c:extLst>
        </c:ser>
        <c:ser>
          <c:idx val="1"/>
          <c:order val="1"/>
          <c:tx>
            <c:strRef>
              <c:f>Sheet1!$A$114</c:f>
              <c:strCache>
                <c:ptCount val="1"/>
                <c:pt idx="0">
                  <c:v>2^15 (32768)     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Sheet1!$B$112:$I$112</c:f>
              <c:strCache>
                <c:ptCount val="8"/>
                <c:pt idx="0">
                  <c:v>1 gija</c:v>
                </c:pt>
                <c:pt idx="1">
                  <c:v>2 gijos</c:v>
                </c:pt>
                <c:pt idx="2">
                  <c:v>3 gijos</c:v>
                </c:pt>
                <c:pt idx="3">
                  <c:v>4 gijos</c:v>
                </c:pt>
                <c:pt idx="4">
                  <c:v>6 gijos</c:v>
                </c:pt>
                <c:pt idx="5">
                  <c:v>8 gijos</c:v>
                </c:pt>
                <c:pt idx="6">
                  <c:v>16 gijos</c:v>
                </c:pt>
                <c:pt idx="7">
                  <c:v>32 gijos</c:v>
                </c:pt>
              </c:strCache>
            </c:strRef>
          </c:cat>
          <c:val>
            <c:numRef>
              <c:f>Sheet1!$B$114:$I$114</c:f>
              <c:numCache>
                <c:formatCode>0%</c:formatCode>
                <c:ptCount val="8"/>
                <c:pt idx="0">
                  <c:v>0</c:v>
                </c:pt>
                <c:pt idx="1">
                  <c:v>-0.5</c:v>
                </c:pt>
                <c:pt idx="2">
                  <c:v>-0.5</c:v>
                </c:pt>
                <c:pt idx="3">
                  <c:v>-0.5</c:v>
                </c:pt>
                <c:pt idx="4">
                  <c:v>-0.5</c:v>
                </c:pt>
                <c:pt idx="5">
                  <c:v>-0.5</c:v>
                </c:pt>
                <c:pt idx="6">
                  <c:v>0</c:v>
                </c:pt>
                <c:pt idx="7">
                  <c:v>1.5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799-8600-847E4F0127D1}"/>
            </c:ext>
          </c:extLst>
        </c:ser>
        <c:ser>
          <c:idx val="2"/>
          <c:order val="2"/>
          <c:tx>
            <c:strRef>
              <c:f>Sheet1!$A$115</c:f>
              <c:strCache>
                <c:ptCount val="1"/>
                <c:pt idx="0">
                  <c:v>2^16 (65536)     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Sheet1!$B$112:$I$112</c:f>
              <c:strCache>
                <c:ptCount val="8"/>
                <c:pt idx="0">
                  <c:v>1 gija</c:v>
                </c:pt>
                <c:pt idx="1">
                  <c:v>2 gijos</c:v>
                </c:pt>
                <c:pt idx="2">
                  <c:v>3 gijos</c:v>
                </c:pt>
                <c:pt idx="3">
                  <c:v>4 gijos</c:v>
                </c:pt>
                <c:pt idx="4">
                  <c:v>6 gijos</c:v>
                </c:pt>
                <c:pt idx="5">
                  <c:v>8 gijos</c:v>
                </c:pt>
                <c:pt idx="6">
                  <c:v>16 gijos</c:v>
                </c:pt>
                <c:pt idx="7">
                  <c:v>32 gijos</c:v>
                </c:pt>
              </c:strCache>
            </c:strRef>
          </c:cat>
          <c:val>
            <c:numRef>
              <c:f>Sheet1!$B$115:$I$115</c:f>
              <c:numCache>
                <c:formatCode>0%</c:formatCode>
                <c:ptCount val="8"/>
                <c:pt idx="0">
                  <c:v>0</c:v>
                </c:pt>
                <c:pt idx="1">
                  <c:v>-0.4</c:v>
                </c:pt>
                <c:pt idx="2">
                  <c:v>-0.4</c:v>
                </c:pt>
                <c:pt idx="3">
                  <c:v>-0.4</c:v>
                </c:pt>
                <c:pt idx="4">
                  <c:v>-0.6</c:v>
                </c:pt>
                <c:pt idx="5">
                  <c:v>-0.6</c:v>
                </c:pt>
                <c:pt idx="6">
                  <c:v>-0.4</c:v>
                </c:pt>
                <c:pt idx="7">
                  <c:v>-0.4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092-4799-8600-847E4F0127D1}"/>
            </c:ext>
          </c:extLst>
        </c:ser>
        <c:ser>
          <c:idx val="3"/>
          <c:order val="3"/>
          <c:tx>
            <c:strRef>
              <c:f>Sheet1!$A$116</c:f>
              <c:strCache>
                <c:ptCount val="1"/>
                <c:pt idx="0">
                  <c:v>2^17 (131072)    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Sheet1!$B$112:$I$112</c:f>
              <c:strCache>
                <c:ptCount val="8"/>
                <c:pt idx="0">
                  <c:v>1 gija</c:v>
                </c:pt>
                <c:pt idx="1">
                  <c:v>2 gijos</c:v>
                </c:pt>
                <c:pt idx="2">
                  <c:v>3 gijos</c:v>
                </c:pt>
                <c:pt idx="3">
                  <c:v>4 gijos</c:v>
                </c:pt>
                <c:pt idx="4">
                  <c:v>6 gijos</c:v>
                </c:pt>
                <c:pt idx="5">
                  <c:v>8 gijos</c:v>
                </c:pt>
                <c:pt idx="6">
                  <c:v>16 gijos</c:v>
                </c:pt>
                <c:pt idx="7">
                  <c:v>32 gijos</c:v>
                </c:pt>
              </c:strCache>
            </c:strRef>
          </c:cat>
          <c:val>
            <c:numRef>
              <c:f>Sheet1!$B$116:$I$116</c:f>
              <c:numCache>
                <c:formatCode>0%</c:formatCode>
                <c:ptCount val="8"/>
                <c:pt idx="0">
                  <c:v>0</c:v>
                </c:pt>
                <c:pt idx="1">
                  <c:v>-0.5</c:v>
                </c:pt>
                <c:pt idx="2">
                  <c:v>-0.5</c:v>
                </c:pt>
                <c:pt idx="3">
                  <c:v>-0.5</c:v>
                </c:pt>
                <c:pt idx="4">
                  <c:v>-0.66666666666666663</c:v>
                </c:pt>
                <c:pt idx="5">
                  <c:v>-0.66666666666666663</c:v>
                </c:pt>
                <c:pt idx="6">
                  <c:v>-0.66666666666666663</c:v>
                </c:pt>
                <c:pt idx="7">
                  <c:v>-0.5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092-4799-8600-847E4F0127D1}"/>
            </c:ext>
          </c:extLst>
        </c:ser>
        <c:ser>
          <c:idx val="4"/>
          <c:order val="4"/>
          <c:tx>
            <c:strRef>
              <c:f>Sheet1!$A$117</c:f>
              <c:strCache>
                <c:ptCount val="1"/>
                <c:pt idx="0">
                  <c:v>2^18 (262144)    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Sheet1!$B$112:$I$112</c:f>
              <c:strCache>
                <c:ptCount val="8"/>
                <c:pt idx="0">
                  <c:v>1 gija</c:v>
                </c:pt>
                <c:pt idx="1">
                  <c:v>2 gijos</c:v>
                </c:pt>
                <c:pt idx="2">
                  <c:v>3 gijos</c:v>
                </c:pt>
                <c:pt idx="3">
                  <c:v>4 gijos</c:v>
                </c:pt>
                <c:pt idx="4">
                  <c:v>6 gijos</c:v>
                </c:pt>
                <c:pt idx="5">
                  <c:v>8 gijos</c:v>
                </c:pt>
                <c:pt idx="6">
                  <c:v>16 gijos</c:v>
                </c:pt>
                <c:pt idx="7">
                  <c:v>32 gijos</c:v>
                </c:pt>
              </c:strCache>
            </c:strRef>
          </c:cat>
          <c:val>
            <c:numRef>
              <c:f>Sheet1!$B$117:$I$117</c:f>
              <c:numCache>
                <c:formatCode>0%</c:formatCode>
                <c:ptCount val="8"/>
                <c:pt idx="0">
                  <c:v>0</c:v>
                </c:pt>
                <c:pt idx="1">
                  <c:v>-0.47826086956521741</c:v>
                </c:pt>
                <c:pt idx="2">
                  <c:v>-0.47826086956521741</c:v>
                </c:pt>
                <c:pt idx="3">
                  <c:v>-0.47826086956521741</c:v>
                </c:pt>
                <c:pt idx="4">
                  <c:v>-0.65217391304347827</c:v>
                </c:pt>
                <c:pt idx="5">
                  <c:v>-0.65217391304347827</c:v>
                </c:pt>
                <c:pt idx="6">
                  <c:v>-0.69565217391304346</c:v>
                </c:pt>
                <c:pt idx="7">
                  <c:v>-0.65217391304347827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092-4799-8600-847E4F0127D1}"/>
            </c:ext>
          </c:extLst>
        </c:ser>
        <c:ser>
          <c:idx val="5"/>
          <c:order val="5"/>
          <c:tx>
            <c:strRef>
              <c:f>Sheet1!$A$118</c:f>
              <c:strCache>
                <c:ptCount val="1"/>
                <c:pt idx="0">
                  <c:v>2^19 (524288)    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Sheet1!$B$112:$I$112</c:f>
              <c:strCache>
                <c:ptCount val="8"/>
                <c:pt idx="0">
                  <c:v>1 gija</c:v>
                </c:pt>
                <c:pt idx="1">
                  <c:v>2 gijos</c:v>
                </c:pt>
                <c:pt idx="2">
                  <c:v>3 gijos</c:v>
                </c:pt>
                <c:pt idx="3">
                  <c:v>4 gijos</c:v>
                </c:pt>
                <c:pt idx="4">
                  <c:v>6 gijos</c:v>
                </c:pt>
                <c:pt idx="5">
                  <c:v>8 gijos</c:v>
                </c:pt>
                <c:pt idx="6">
                  <c:v>16 gijos</c:v>
                </c:pt>
                <c:pt idx="7">
                  <c:v>32 gijos</c:v>
                </c:pt>
              </c:strCache>
            </c:strRef>
          </c:cat>
          <c:val>
            <c:numRef>
              <c:f>Sheet1!$B$118:$I$118</c:f>
              <c:numCache>
                <c:formatCode>0%</c:formatCode>
                <c:ptCount val="8"/>
                <c:pt idx="0">
                  <c:v>0</c:v>
                </c:pt>
                <c:pt idx="1">
                  <c:v>-0.44444444444444442</c:v>
                </c:pt>
                <c:pt idx="2">
                  <c:v>-0.51851851851851849</c:v>
                </c:pt>
                <c:pt idx="3">
                  <c:v>-0.46296296296296297</c:v>
                </c:pt>
                <c:pt idx="4">
                  <c:v>-0.70370370370370372</c:v>
                </c:pt>
                <c:pt idx="5">
                  <c:v>-0.72222222222222221</c:v>
                </c:pt>
                <c:pt idx="6">
                  <c:v>-0.77777777777777779</c:v>
                </c:pt>
                <c:pt idx="7">
                  <c:v>-0.77777777777777779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092-4799-8600-847E4F0127D1}"/>
            </c:ext>
          </c:extLst>
        </c:ser>
        <c:ser>
          <c:idx val="6"/>
          <c:order val="6"/>
          <c:tx>
            <c:strRef>
              <c:f>Sheet1!$A$119</c:f>
              <c:strCache>
                <c:ptCount val="1"/>
                <c:pt idx="0">
                  <c:v>2^20 (1048576)   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Sheet1!$B$112:$I$112</c:f>
              <c:strCache>
                <c:ptCount val="8"/>
                <c:pt idx="0">
                  <c:v>1 gija</c:v>
                </c:pt>
                <c:pt idx="1">
                  <c:v>2 gijos</c:v>
                </c:pt>
                <c:pt idx="2">
                  <c:v>3 gijos</c:v>
                </c:pt>
                <c:pt idx="3">
                  <c:v>4 gijos</c:v>
                </c:pt>
                <c:pt idx="4">
                  <c:v>6 gijos</c:v>
                </c:pt>
                <c:pt idx="5">
                  <c:v>8 gijos</c:v>
                </c:pt>
                <c:pt idx="6">
                  <c:v>16 gijos</c:v>
                </c:pt>
                <c:pt idx="7">
                  <c:v>32 gijos</c:v>
                </c:pt>
              </c:strCache>
            </c:strRef>
          </c:cat>
          <c:val>
            <c:numRef>
              <c:f>Sheet1!$B$119:$I$119</c:f>
              <c:numCache>
                <c:formatCode>0%</c:formatCode>
                <c:ptCount val="8"/>
                <c:pt idx="0">
                  <c:v>0</c:v>
                </c:pt>
                <c:pt idx="1">
                  <c:v>-0.48214285714285715</c:v>
                </c:pt>
                <c:pt idx="2">
                  <c:v>-0.5267857142857143</c:v>
                </c:pt>
                <c:pt idx="3">
                  <c:v>-0.48214285714285715</c:v>
                </c:pt>
                <c:pt idx="4">
                  <c:v>-0.7053571428571429</c:v>
                </c:pt>
                <c:pt idx="5">
                  <c:v>-0.6964285714285714</c:v>
                </c:pt>
                <c:pt idx="6">
                  <c:v>-0.7946428571428571</c:v>
                </c:pt>
                <c:pt idx="7">
                  <c:v>-0.8125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092-4799-8600-847E4F0127D1}"/>
            </c:ext>
          </c:extLst>
        </c:ser>
        <c:ser>
          <c:idx val="7"/>
          <c:order val="7"/>
          <c:tx>
            <c:strRef>
              <c:f>Sheet1!$A$120</c:f>
              <c:strCache>
                <c:ptCount val="1"/>
                <c:pt idx="0">
                  <c:v>2^21 (2097152)   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Sheet1!$B$112:$I$112</c:f>
              <c:strCache>
                <c:ptCount val="8"/>
                <c:pt idx="0">
                  <c:v>1 gija</c:v>
                </c:pt>
                <c:pt idx="1">
                  <c:v>2 gijos</c:v>
                </c:pt>
                <c:pt idx="2">
                  <c:v>3 gijos</c:v>
                </c:pt>
                <c:pt idx="3">
                  <c:v>4 gijos</c:v>
                </c:pt>
                <c:pt idx="4">
                  <c:v>6 gijos</c:v>
                </c:pt>
                <c:pt idx="5">
                  <c:v>8 gijos</c:v>
                </c:pt>
                <c:pt idx="6">
                  <c:v>16 gijos</c:v>
                </c:pt>
                <c:pt idx="7">
                  <c:v>32 gijos</c:v>
                </c:pt>
              </c:strCache>
            </c:strRef>
          </c:cat>
          <c:val>
            <c:numRef>
              <c:f>Sheet1!$B$120:$I$120</c:f>
              <c:numCache>
                <c:formatCode>0%</c:formatCode>
                <c:ptCount val="8"/>
                <c:pt idx="0">
                  <c:v>0</c:v>
                </c:pt>
                <c:pt idx="1">
                  <c:v>-0.45853658536585368</c:v>
                </c:pt>
                <c:pt idx="2">
                  <c:v>-0.42439024390243901</c:v>
                </c:pt>
                <c:pt idx="3">
                  <c:v>-0.46341463414634149</c:v>
                </c:pt>
                <c:pt idx="4">
                  <c:v>-0.66829268292682931</c:v>
                </c:pt>
                <c:pt idx="5">
                  <c:v>-0.69268292682926824</c:v>
                </c:pt>
                <c:pt idx="6">
                  <c:v>-0.79512195121951224</c:v>
                </c:pt>
                <c:pt idx="7">
                  <c:v>-0.82926829268292679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092-4799-8600-847E4F0127D1}"/>
            </c:ext>
          </c:extLst>
        </c:ser>
        <c:ser>
          <c:idx val="8"/>
          <c:order val="8"/>
          <c:tx>
            <c:strRef>
              <c:f>Sheet1!$A$121</c:f>
              <c:strCache>
                <c:ptCount val="1"/>
                <c:pt idx="0">
                  <c:v>2^22 (4194304)   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Sheet1!$B$112:$I$112</c:f>
              <c:strCache>
                <c:ptCount val="8"/>
                <c:pt idx="0">
                  <c:v>1 gija</c:v>
                </c:pt>
                <c:pt idx="1">
                  <c:v>2 gijos</c:v>
                </c:pt>
                <c:pt idx="2">
                  <c:v>3 gijos</c:v>
                </c:pt>
                <c:pt idx="3">
                  <c:v>4 gijos</c:v>
                </c:pt>
                <c:pt idx="4">
                  <c:v>6 gijos</c:v>
                </c:pt>
                <c:pt idx="5">
                  <c:v>8 gijos</c:v>
                </c:pt>
                <c:pt idx="6">
                  <c:v>16 gijos</c:v>
                </c:pt>
                <c:pt idx="7">
                  <c:v>32 gijos</c:v>
                </c:pt>
              </c:strCache>
            </c:strRef>
          </c:cat>
          <c:val>
            <c:numRef>
              <c:f>Sheet1!$B$121:$I$121</c:f>
              <c:numCache>
                <c:formatCode>0%</c:formatCode>
                <c:ptCount val="8"/>
                <c:pt idx="0">
                  <c:v>0</c:v>
                </c:pt>
                <c:pt idx="1">
                  <c:v>-0.49184149184149184</c:v>
                </c:pt>
                <c:pt idx="2">
                  <c:v>-0.45687645687645689</c:v>
                </c:pt>
                <c:pt idx="3">
                  <c:v>-0.48717948717948717</c:v>
                </c:pt>
                <c:pt idx="4">
                  <c:v>-0.67832167832167833</c:v>
                </c:pt>
                <c:pt idx="5">
                  <c:v>-0.69696969696969702</c:v>
                </c:pt>
                <c:pt idx="6">
                  <c:v>-0.80885780885780889</c:v>
                </c:pt>
                <c:pt idx="7">
                  <c:v>-0.8601398601398601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5092-4799-8600-847E4F0127D1}"/>
            </c:ext>
          </c:extLst>
        </c:ser>
        <c:ser>
          <c:idx val="9"/>
          <c:order val="9"/>
          <c:tx>
            <c:strRef>
              <c:f>Sheet1!$A$122</c:f>
              <c:strCache>
                <c:ptCount val="1"/>
                <c:pt idx="0">
                  <c:v>2^23 (8388608)   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Sheet1!$B$112:$I$112</c:f>
              <c:strCache>
                <c:ptCount val="8"/>
                <c:pt idx="0">
                  <c:v>1 gija</c:v>
                </c:pt>
                <c:pt idx="1">
                  <c:v>2 gijos</c:v>
                </c:pt>
                <c:pt idx="2">
                  <c:v>3 gijos</c:v>
                </c:pt>
                <c:pt idx="3">
                  <c:v>4 gijos</c:v>
                </c:pt>
                <c:pt idx="4">
                  <c:v>6 gijos</c:v>
                </c:pt>
                <c:pt idx="5">
                  <c:v>8 gijos</c:v>
                </c:pt>
                <c:pt idx="6">
                  <c:v>16 gijos</c:v>
                </c:pt>
                <c:pt idx="7">
                  <c:v>32 gijos</c:v>
                </c:pt>
              </c:strCache>
            </c:strRef>
          </c:cat>
          <c:val>
            <c:numRef>
              <c:f>Sheet1!$B$122:$I$122</c:f>
              <c:numCache>
                <c:formatCode>0%</c:formatCode>
                <c:ptCount val="8"/>
                <c:pt idx="0">
                  <c:v>0</c:v>
                </c:pt>
                <c:pt idx="1">
                  <c:v>-0.46702127659574466</c:v>
                </c:pt>
                <c:pt idx="2">
                  <c:v>-0.48829787234042554</c:v>
                </c:pt>
                <c:pt idx="3">
                  <c:v>-0.46276595744680848</c:v>
                </c:pt>
                <c:pt idx="4">
                  <c:v>-0.71170212765957441</c:v>
                </c:pt>
                <c:pt idx="5">
                  <c:v>-0.7</c:v>
                </c:pt>
                <c:pt idx="6">
                  <c:v>-0.81382978723404253</c:v>
                </c:pt>
                <c:pt idx="7">
                  <c:v>-0.86276595744680851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5092-4799-8600-847E4F0127D1}"/>
            </c:ext>
          </c:extLst>
        </c:ser>
        <c:ser>
          <c:idx val="10"/>
          <c:order val="10"/>
          <c:tx>
            <c:strRef>
              <c:f>Sheet1!$A$123</c:f>
              <c:strCache>
                <c:ptCount val="1"/>
                <c:pt idx="0">
                  <c:v>2^24 (16777216)   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Sheet1!$B$112:$I$112</c:f>
              <c:strCache>
                <c:ptCount val="8"/>
                <c:pt idx="0">
                  <c:v>1 gija</c:v>
                </c:pt>
                <c:pt idx="1">
                  <c:v>2 gijos</c:v>
                </c:pt>
                <c:pt idx="2">
                  <c:v>3 gijos</c:v>
                </c:pt>
                <c:pt idx="3">
                  <c:v>4 gijos</c:v>
                </c:pt>
                <c:pt idx="4">
                  <c:v>6 gijos</c:v>
                </c:pt>
                <c:pt idx="5">
                  <c:v>8 gijos</c:v>
                </c:pt>
                <c:pt idx="6">
                  <c:v>16 gijos</c:v>
                </c:pt>
                <c:pt idx="7">
                  <c:v>32 gijos</c:v>
                </c:pt>
              </c:strCache>
            </c:strRef>
          </c:cat>
          <c:val>
            <c:numRef>
              <c:f>Sheet1!$B$123:$I$123</c:f>
              <c:numCache>
                <c:formatCode>0%</c:formatCode>
                <c:ptCount val="8"/>
                <c:pt idx="0">
                  <c:v>0</c:v>
                </c:pt>
                <c:pt idx="1">
                  <c:v>-0.48222565687789798</c:v>
                </c:pt>
                <c:pt idx="2">
                  <c:v>-0.49613601236476046</c:v>
                </c:pt>
                <c:pt idx="3">
                  <c:v>-0.48531684698608962</c:v>
                </c:pt>
                <c:pt idx="4">
                  <c:v>-0.71148892323544566</c:v>
                </c:pt>
                <c:pt idx="5">
                  <c:v>-0.71303451828954145</c:v>
                </c:pt>
                <c:pt idx="6">
                  <c:v>-0.81813498196805767</c:v>
                </c:pt>
                <c:pt idx="7">
                  <c:v>-0.86141164348274091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2-5092-4799-8600-847E4F0127D1}"/>
            </c:ext>
          </c:extLst>
        </c:ser>
        <c:ser>
          <c:idx val="11"/>
          <c:order val="11"/>
          <c:tx>
            <c:strRef>
              <c:f>Sheet1!$A$124</c:f>
              <c:strCache>
                <c:ptCount val="1"/>
                <c:pt idx="0">
                  <c:v>2^25 (33554432)   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Sheet1!$B$112:$I$112</c:f>
              <c:strCache>
                <c:ptCount val="8"/>
                <c:pt idx="0">
                  <c:v>1 gija</c:v>
                </c:pt>
                <c:pt idx="1">
                  <c:v>2 gijos</c:v>
                </c:pt>
                <c:pt idx="2">
                  <c:v>3 gijos</c:v>
                </c:pt>
                <c:pt idx="3">
                  <c:v>4 gijos</c:v>
                </c:pt>
                <c:pt idx="4">
                  <c:v>6 gijos</c:v>
                </c:pt>
                <c:pt idx="5">
                  <c:v>8 gijos</c:v>
                </c:pt>
                <c:pt idx="6">
                  <c:v>16 gijos</c:v>
                </c:pt>
                <c:pt idx="7">
                  <c:v>32 gijos</c:v>
                </c:pt>
              </c:strCache>
            </c:strRef>
          </c:cat>
          <c:val>
            <c:numRef>
              <c:f>Sheet1!$B$124:$I$124</c:f>
              <c:numCache>
                <c:formatCode>0%</c:formatCode>
                <c:ptCount val="8"/>
                <c:pt idx="0">
                  <c:v>0</c:v>
                </c:pt>
                <c:pt idx="1">
                  <c:v>-0.4729591836734694</c:v>
                </c:pt>
                <c:pt idx="2">
                  <c:v>-0.47525510204081634</c:v>
                </c:pt>
                <c:pt idx="3">
                  <c:v>-0.47423469387755102</c:v>
                </c:pt>
                <c:pt idx="4">
                  <c:v>-0.71071428571428574</c:v>
                </c:pt>
                <c:pt idx="5">
                  <c:v>-0.70204081632653059</c:v>
                </c:pt>
                <c:pt idx="6">
                  <c:v>-0.81632653061224492</c:v>
                </c:pt>
                <c:pt idx="7">
                  <c:v>-0.85765306122448981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3-5092-4799-8600-847E4F0127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0827663"/>
        <c:axId val="1300838479"/>
      </c:lineChart>
      <c:catAx>
        <c:axId val="13008276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t-LT"/>
          </a:p>
        </c:txPr>
        <c:crossAx val="1300838479"/>
        <c:crosses val="autoZero"/>
        <c:auto val="1"/>
        <c:lblAlgn val="ctr"/>
        <c:lblOffset val="100"/>
        <c:noMultiLvlLbl val="0"/>
      </c:catAx>
      <c:valAx>
        <c:axId val="1300838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t-LT"/>
          </a:p>
        </c:txPr>
        <c:crossAx val="13008276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t-LT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t-L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Pokytis nuo 1 gijos (ma</a:t>
            </a:r>
            <a:r>
              <a:rPr lang="lt-LT"/>
              <a:t>ž</a:t>
            </a:r>
            <a:r>
              <a:rPr lang="en-US"/>
              <a:t>iau yra geriau</a:t>
            </a:r>
            <a:r>
              <a:rPr lang="lt-LT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t-LT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Sheet1!$C$112</c:f>
              <c:strCache>
                <c:ptCount val="1"/>
                <c:pt idx="0">
                  <c:v>2 gijos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Sheet1!$A$113:$A$124</c15:sqref>
                  </c15:fullRef>
                </c:ext>
              </c:extLst>
              <c:f>Sheet1!$A$115:$A$124</c:f>
              <c:strCache>
                <c:ptCount val="10"/>
                <c:pt idx="0">
                  <c:v>2^16 (65536)      </c:v>
                </c:pt>
                <c:pt idx="1">
                  <c:v>2^17 (131072)     </c:v>
                </c:pt>
                <c:pt idx="2">
                  <c:v>2^18 (262144)     </c:v>
                </c:pt>
                <c:pt idx="3">
                  <c:v>2^19 (524288)     </c:v>
                </c:pt>
                <c:pt idx="4">
                  <c:v>2^20 (1048576)    </c:v>
                </c:pt>
                <c:pt idx="5">
                  <c:v>2^21 (2097152)    </c:v>
                </c:pt>
                <c:pt idx="6">
                  <c:v>2^22 (4194304)    </c:v>
                </c:pt>
                <c:pt idx="7">
                  <c:v>2^23 (8388608)    </c:v>
                </c:pt>
                <c:pt idx="8">
                  <c:v>2^24 (16777216)   </c:v>
                </c:pt>
                <c:pt idx="9">
                  <c:v>2^25 (33554432)  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Sheet1!$C$113:$C$124</c15:sqref>
                  </c15:fullRef>
                </c:ext>
              </c:extLst>
              <c:f>Sheet1!$C$115:$C$124</c:f>
              <c:numCache>
                <c:formatCode>0%</c:formatCode>
                <c:ptCount val="10"/>
                <c:pt idx="0">
                  <c:v>-0.4</c:v>
                </c:pt>
                <c:pt idx="1">
                  <c:v>-0.5</c:v>
                </c:pt>
                <c:pt idx="2">
                  <c:v>-0.47826086956521741</c:v>
                </c:pt>
                <c:pt idx="3">
                  <c:v>-0.44444444444444442</c:v>
                </c:pt>
                <c:pt idx="4">
                  <c:v>-0.48214285714285715</c:v>
                </c:pt>
                <c:pt idx="5">
                  <c:v>-0.45853658536585368</c:v>
                </c:pt>
                <c:pt idx="6">
                  <c:v>-0.49184149184149184</c:v>
                </c:pt>
                <c:pt idx="7">
                  <c:v>-0.46702127659574466</c:v>
                </c:pt>
                <c:pt idx="8">
                  <c:v>-0.48222565687789798</c:v>
                </c:pt>
                <c:pt idx="9">
                  <c:v>-0.4729591836734694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FD9-453A-B64D-98DB1BFD6BFF}"/>
            </c:ext>
          </c:extLst>
        </c:ser>
        <c:ser>
          <c:idx val="2"/>
          <c:order val="2"/>
          <c:tx>
            <c:strRef>
              <c:f>Sheet1!$D$112</c:f>
              <c:strCache>
                <c:ptCount val="1"/>
                <c:pt idx="0">
                  <c:v>3 gijos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Sheet1!$A$113:$A$124</c15:sqref>
                  </c15:fullRef>
                </c:ext>
              </c:extLst>
              <c:f>Sheet1!$A$115:$A$124</c:f>
              <c:strCache>
                <c:ptCount val="10"/>
                <c:pt idx="0">
                  <c:v>2^16 (65536)      </c:v>
                </c:pt>
                <c:pt idx="1">
                  <c:v>2^17 (131072)     </c:v>
                </c:pt>
                <c:pt idx="2">
                  <c:v>2^18 (262144)     </c:v>
                </c:pt>
                <c:pt idx="3">
                  <c:v>2^19 (524288)     </c:v>
                </c:pt>
                <c:pt idx="4">
                  <c:v>2^20 (1048576)    </c:v>
                </c:pt>
                <c:pt idx="5">
                  <c:v>2^21 (2097152)    </c:v>
                </c:pt>
                <c:pt idx="6">
                  <c:v>2^22 (4194304)    </c:v>
                </c:pt>
                <c:pt idx="7">
                  <c:v>2^23 (8388608)    </c:v>
                </c:pt>
                <c:pt idx="8">
                  <c:v>2^24 (16777216)   </c:v>
                </c:pt>
                <c:pt idx="9">
                  <c:v>2^25 (33554432)  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Sheet1!$D$113:$D$124</c15:sqref>
                  </c15:fullRef>
                </c:ext>
              </c:extLst>
              <c:f>Sheet1!$D$115:$D$124</c:f>
              <c:numCache>
                <c:formatCode>0%</c:formatCode>
                <c:ptCount val="10"/>
                <c:pt idx="0">
                  <c:v>-0.4</c:v>
                </c:pt>
                <c:pt idx="1">
                  <c:v>-0.5</c:v>
                </c:pt>
                <c:pt idx="2">
                  <c:v>-0.47826086956521741</c:v>
                </c:pt>
                <c:pt idx="3">
                  <c:v>-0.51851851851851849</c:v>
                </c:pt>
                <c:pt idx="4">
                  <c:v>-0.5267857142857143</c:v>
                </c:pt>
                <c:pt idx="5">
                  <c:v>-0.42439024390243901</c:v>
                </c:pt>
                <c:pt idx="6">
                  <c:v>-0.45687645687645689</c:v>
                </c:pt>
                <c:pt idx="7">
                  <c:v>-0.48829787234042554</c:v>
                </c:pt>
                <c:pt idx="8">
                  <c:v>-0.49613601236476046</c:v>
                </c:pt>
                <c:pt idx="9">
                  <c:v>-0.47525510204081634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FD9-453A-B64D-98DB1BFD6BFF}"/>
            </c:ext>
          </c:extLst>
        </c:ser>
        <c:ser>
          <c:idx val="3"/>
          <c:order val="3"/>
          <c:tx>
            <c:strRef>
              <c:f>Sheet1!$E$112</c:f>
              <c:strCache>
                <c:ptCount val="1"/>
                <c:pt idx="0">
                  <c:v>4 gijos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Sheet1!$A$113:$A$124</c15:sqref>
                  </c15:fullRef>
                </c:ext>
              </c:extLst>
              <c:f>Sheet1!$A$115:$A$124</c:f>
              <c:strCache>
                <c:ptCount val="10"/>
                <c:pt idx="0">
                  <c:v>2^16 (65536)      </c:v>
                </c:pt>
                <c:pt idx="1">
                  <c:v>2^17 (131072)     </c:v>
                </c:pt>
                <c:pt idx="2">
                  <c:v>2^18 (262144)     </c:v>
                </c:pt>
                <c:pt idx="3">
                  <c:v>2^19 (524288)     </c:v>
                </c:pt>
                <c:pt idx="4">
                  <c:v>2^20 (1048576)    </c:v>
                </c:pt>
                <c:pt idx="5">
                  <c:v>2^21 (2097152)    </c:v>
                </c:pt>
                <c:pt idx="6">
                  <c:v>2^22 (4194304)    </c:v>
                </c:pt>
                <c:pt idx="7">
                  <c:v>2^23 (8388608)    </c:v>
                </c:pt>
                <c:pt idx="8">
                  <c:v>2^24 (16777216)   </c:v>
                </c:pt>
                <c:pt idx="9">
                  <c:v>2^25 (33554432)  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Sheet1!$E$113:$E$124</c15:sqref>
                  </c15:fullRef>
                </c:ext>
              </c:extLst>
              <c:f>Sheet1!$E$115:$E$124</c:f>
              <c:numCache>
                <c:formatCode>0%</c:formatCode>
                <c:ptCount val="10"/>
                <c:pt idx="0">
                  <c:v>-0.4</c:v>
                </c:pt>
                <c:pt idx="1">
                  <c:v>-0.5</c:v>
                </c:pt>
                <c:pt idx="2">
                  <c:v>-0.47826086956521741</c:v>
                </c:pt>
                <c:pt idx="3">
                  <c:v>-0.46296296296296297</c:v>
                </c:pt>
                <c:pt idx="4">
                  <c:v>-0.48214285714285715</c:v>
                </c:pt>
                <c:pt idx="5">
                  <c:v>-0.46341463414634149</c:v>
                </c:pt>
                <c:pt idx="6">
                  <c:v>-0.48717948717948717</c:v>
                </c:pt>
                <c:pt idx="7">
                  <c:v>-0.46276595744680848</c:v>
                </c:pt>
                <c:pt idx="8">
                  <c:v>-0.48531684698608962</c:v>
                </c:pt>
                <c:pt idx="9">
                  <c:v>-0.47423469387755102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FD9-453A-B64D-98DB1BFD6BFF}"/>
            </c:ext>
          </c:extLst>
        </c:ser>
        <c:ser>
          <c:idx val="4"/>
          <c:order val="4"/>
          <c:tx>
            <c:strRef>
              <c:f>Sheet1!$F$112</c:f>
              <c:strCache>
                <c:ptCount val="1"/>
                <c:pt idx="0">
                  <c:v>6 gijos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Sheet1!$A$113:$A$124</c15:sqref>
                  </c15:fullRef>
                </c:ext>
              </c:extLst>
              <c:f>Sheet1!$A$115:$A$124</c:f>
              <c:strCache>
                <c:ptCount val="10"/>
                <c:pt idx="0">
                  <c:v>2^16 (65536)      </c:v>
                </c:pt>
                <c:pt idx="1">
                  <c:v>2^17 (131072)     </c:v>
                </c:pt>
                <c:pt idx="2">
                  <c:v>2^18 (262144)     </c:v>
                </c:pt>
                <c:pt idx="3">
                  <c:v>2^19 (524288)     </c:v>
                </c:pt>
                <c:pt idx="4">
                  <c:v>2^20 (1048576)    </c:v>
                </c:pt>
                <c:pt idx="5">
                  <c:v>2^21 (2097152)    </c:v>
                </c:pt>
                <c:pt idx="6">
                  <c:v>2^22 (4194304)    </c:v>
                </c:pt>
                <c:pt idx="7">
                  <c:v>2^23 (8388608)    </c:v>
                </c:pt>
                <c:pt idx="8">
                  <c:v>2^24 (16777216)   </c:v>
                </c:pt>
                <c:pt idx="9">
                  <c:v>2^25 (33554432)  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Sheet1!$F$113:$F$124</c15:sqref>
                  </c15:fullRef>
                </c:ext>
              </c:extLst>
              <c:f>Sheet1!$F$115:$F$124</c:f>
              <c:numCache>
                <c:formatCode>0%</c:formatCode>
                <c:ptCount val="10"/>
                <c:pt idx="0">
                  <c:v>-0.6</c:v>
                </c:pt>
                <c:pt idx="1">
                  <c:v>-0.66666666666666663</c:v>
                </c:pt>
                <c:pt idx="2">
                  <c:v>-0.65217391304347827</c:v>
                </c:pt>
                <c:pt idx="3">
                  <c:v>-0.70370370370370372</c:v>
                </c:pt>
                <c:pt idx="4">
                  <c:v>-0.7053571428571429</c:v>
                </c:pt>
                <c:pt idx="5">
                  <c:v>-0.66829268292682931</c:v>
                </c:pt>
                <c:pt idx="6">
                  <c:v>-0.67832167832167833</c:v>
                </c:pt>
                <c:pt idx="7">
                  <c:v>-0.71170212765957441</c:v>
                </c:pt>
                <c:pt idx="8">
                  <c:v>-0.71148892323544566</c:v>
                </c:pt>
                <c:pt idx="9">
                  <c:v>-0.71071428571428574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FD9-453A-B64D-98DB1BFD6BFF}"/>
            </c:ext>
          </c:extLst>
        </c:ser>
        <c:ser>
          <c:idx val="5"/>
          <c:order val="5"/>
          <c:tx>
            <c:strRef>
              <c:f>Sheet1!$G$112</c:f>
              <c:strCache>
                <c:ptCount val="1"/>
                <c:pt idx="0">
                  <c:v>8 gijos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Sheet1!$A$113:$A$124</c15:sqref>
                  </c15:fullRef>
                </c:ext>
              </c:extLst>
              <c:f>Sheet1!$A$115:$A$124</c:f>
              <c:strCache>
                <c:ptCount val="10"/>
                <c:pt idx="0">
                  <c:v>2^16 (65536)      </c:v>
                </c:pt>
                <c:pt idx="1">
                  <c:v>2^17 (131072)     </c:v>
                </c:pt>
                <c:pt idx="2">
                  <c:v>2^18 (262144)     </c:v>
                </c:pt>
                <c:pt idx="3">
                  <c:v>2^19 (524288)     </c:v>
                </c:pt>
                <c:pt idx="4">
                  <c:v>2^20 (1048576)    </c:v>
                </c:pt>
                <c:pt idx="5">
                  <c:v>2^21 (2097152)    </c:v>
                </c:pt>
                <c:pt idx="6">
                  <c:v>2^22 (4194304)    </c:v>
                </c:pt>
                <c:pt idx="7">
                  <c:v>2^23 (8388608)    </c:v>
                </c:pt>
                <c:pt idx="8">
                  <c:v>2^24 (16777216)   </c:v>
                </c:pt>
                <c:pt idx="9">
                  <c:v>2^25 (33554432)  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Sheet1!$G$113:$G$124</c15:sqref>
                  </c15:fullRef>
                </c:ext>
              </c:extLst>
              <c:f>Sheet1!$G$115:$G$124</c:f>
              <c:numCache>
                <c:formatCode>0%</c:formatCode>
                <c:ptCount val="10"/>
                <c:pt idx="0">
                  <c:v>-0.6</c:v>
                </c:pt>
                <c:pt idx="1">
                  <c:v>-0.66666666666666663</c:v>
                </c:pt>
                <c:pt idx="2">
                  <c:v>-0.65217391304347827</c:v>
                </c:pt>
                <c:pt idx="3">
                  <c:v>-0.72222222222222221</c:v>
                </c:pt>
                <c:pt idx="4">
                  <c:v>-0.6964285714285714</c:v>
                </c:pt>
                <c:pt idx="5">
                  <c:v>-0.69268292682926824</c:v>
                </c:pt>
                <c:pt idx="6">
                  <c:v>-0.69696969696969702</c:v>
                </c:pt>
                <c:pt idx="7">
                  <c:v>-0.7</c:v>
                </c:pt>
                <c:pt idx="8">
                  <c:v>-0.71303451828954145</c:v>
                </c:pt>
                <c:pt idx="9">
                  <c:v>-0.70204081632653059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FD9-453A-B64D-98DB1BFD6BFF}"/>
            </c:ext>
          </c:extLst>
        </c:ser>
        <c:ser>
          <c:idx val="6"/>
          <c:order val="6"/>
          <c:tx>
            <c:strRef>
              <c:f>Sheet1!$H$112</c:f>
              <c:strCache>
                <c:ptCount val="1"/>
                <c:pt idx="0">
                  <c:v>16 gijos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Sheet1!$A$113:$A$124</c15:sqref>
                  </c15:fullRef>
                </c:ext>
              </c:extLst>
              <c:f>Sheet1!$A$115:$A$124</c:f>
              <c:strCache>
                <c:ptCount val="10"/>
                <c:pt idx="0">
                  <c:v>2^16 (65536)      </c:v>
                </c:pt>
                <c:pt idx="1">
                  <c:v>2^17 (131072)     </c:v>
                </c:pt>
                <c:pt idx="2">
                  <c:v>2^18 (262144)     </c:v>
                </c:pt>
                <c:pt idx="3">
                  <c:v>2^19 (524288)     </c:v>
                </c:pt>
                <c:pt idx="4">
                  <c:v>2^20 (1048576)    </c:v>
                </c:pt>
                <c:pt idx="5">
                  <c:v>2^21 (2097152)    </c:v>
                </c:pt>
                <c:pt idx="6">
                  <c:v>2^22 (4194304)    </c:v>
                </c:pt>
                <c:pt idx="7">
                  <c:v>2^23 (8388608)    </c:v>
                </c:pt>
                <c:pt idx="8">
                  <c:v>2^24 (16777216)   </c:v>
                </c:pt>
                <c:pt idx="9">
                  <c:v>2^25 (33554432)  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Sheet1!$H$113:$H$124</c15:sqref>
                  </c15:fullRef>
                </c:ext>
              </c:extLst>
              <c:f>Sheet1!$H$115:$H$124</c:f>
              <c:numCache>
                <c:formatCode>0%</c:formatCode>
                <c:ptCount val="10"/>
                <c:pt idx="0">
                  <c:v>-0.4</c:v>
                </c:pt>
                <c:pt idx="1">
                  <c:v>-0.66666666666666663</c:v>
                </c:pt>
                <c:pt idx="2">
                  <c:v>-0.69565217391304346</c:v>
                </c:pt>
                <c:pt idx="3">
                  <c:v>-0.77777777777777779</c:v>
                </c:pt>
                <c:pt idx="4">
                  <c:v>-0.7946428571428571</c:v>
                </c:pt>
                <c:pt idx="5">
                  <c:v>-0.79512195121951224</c:v>
                </c:pt>
                <c:pt idx="6">
                  <c:v>-0.80885780885780889</c:v>
                </c:pt>
                <c:pt idx="7">
                  <c:v>-0.81382978723404253</c:v>
                </c:pt>
                <c:pt idx="8">
                  <c:v>-0.81813498196805767</c:v>
                </c:pt>
                <c:pt idx="9">
                  <c:v>-0.81632653061224492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FD9-453A-B64D-98DB1BFD6BFF}"/>
            </c:ext>
          </c:extLst>
        </c:ser>
        <c:ser>
          <c:idx val="7"/>
          <c:order val="7"/>
          <c:tx>
            <c:strRef>
              <c:f>Sheet1!$I$112</c:f>
              <c:strCache>
                <c:ptCount val="1"/>
                <c:pt idx="0">
                  <c:v>32 gijos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Sheet1!$A$113:$A$124</c15:sqref>
                  </c15:fullRef>
                </c:ext>
              </c:extLst>
              <c:f>Sheet1!$A$115:$A$124</c:f>
              <c:strCache>
                <c:ptCount val="10"/>
                <c:pt idx="0">
                  <c:v>2^16 (65536)      </c:v>
                </c:pt>
                <c:pt idx="1">
                  <c:v>2^17 (131072)     </c:v>
                </c:pt>
                <c:pt idx="2">
                  <c:v>2^18 (262144)     </c:v>
                </c:pt>
                <c:pt idx="3">
                  <c:v>2^19 (524288)     </c:v>
                </c:pt>
                <c:pt idx="4">
                  <c:v>2^20 (1048576)    </c:v>
                </c:pt>
                <c:pt idx="5">
                  <c:v>2^21 (2097152)    </c:v>
                </c:pt>
                <c:pt idx="6">
                  <c:v>2^22 (4194304)    </c:v>
                </c:pt>
                <c:pt idx="7">
                  <c:v>2^23 (8388608)    </c:v>
                </c:pt>
                <c:pt idx="8">
                  <c:v>2^24 (16777216)   </c:v>
                </c:pt>
                <c:pt idx="9">
                  <c:v>2^25 (33554432)  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Sheet1!$I$113:$I$124</c15:sqref>
                  </c15:fullRef>
                </c:ext>
              </c:extLst>
              <c:f>Sheet1!$I$115:$I$124</c:f>
              <c:numCache>
                <c:formatCode>0%</c:formatCode>
                <c:ptCount val="10"/>
                <c:pt idx="0">
                  <c:v>-0.4</c:v>
                </c:pt>
                <c:pt idx="1">
                  <c:v>-0.5</c:v>
                </c:pt>
                <c:pt idx="2">
                  <c:v>-0.65217391304347827</c:v>
                </c:pt>
                <c:pt idx="3">
                  <c:v>-0.77777777777777779</c:v>
                </c:pt>
                <c:pt idx="4">
                  <c:v>-0.8125</c:v>
                </c:pt>
                <c:pt idx="5">
                  <c:v>-0.82926829268292679</c:v>
                </c:pt>
                <c:pt idx="6">
                  <c:v>-0.8601398601398601</c:v>
                </c:pt>
                <c:pt idx="7">
                  <c:v>-0.86276595744680851</c:v>
                </c:pt>
                <c:pt idx="8">
                  <c:v>-0.86141164348274091</c:v>
                </c:pt>
                <c:pt idx="9">
                  <c:v>-0.85765306122448981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FD9-453A-B64D-98DB1BFD6B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0827663"/>
        <c:axId val="130083847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Sheet1!$B$112</c15:sqref>
                        </c15:formulaRef>
                      </c:ext>
                    </c:extLst>
                    <c:strCache>
                      <c:ptCount val="1"/>
                      <c:pt idx="0">
                        <c:v>1 gija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Sheet1!$A$113:$A$124</c15:sqref>
                        </c15:fullRef>
                        <c15:formulaRef>
                          <c15:sqref>Sheet1!$A$115:$A$124</c15:sqref>
                        </c15:formulaRef>
                      </c:ext>
                    </c:extLst>
                    <c:strCache>
                      <c:ptCount val="10"/>
                      <c:pt idx="0">
                        <c:v>2^16 (65536)      </c:v>
                      </c:pt>
                      <c:pt idx="1">
                        <c:v>2^17 (131072)     </c:v>
                      </c:pt>
                      <c:pt idx="2">
                        <c:v>2^18 (262144)     </c:v>
                      </c:pt>
                      <c:pt idx="3">
                        <c:v>2^19 (524288)     </c:v>
                      </c:pt>
                      <c:pt idx="4">
                        <c:v>2^20 (1048576)    </c:v>
                      </c:pt>
                      <c:pt idx="5">
                        <c:v>2^21 (2097152)    </c:v>
                      </c:pt>
                      <c:pt idx="6">
                        <c:v>2^22 (4194304)    </c:v>
                      </c:pt>
                      <c:pt idx="7">
                        <c:v>2^23 (8388608)    </c:v>
                      </c:pt>
                      <c:pt idx="8">
                        <c:v>2^24 (16777216)   </c:v>
                      </c:pt>
                      <c:pt idx="9">
                        <c:v>2^25 (33554432)   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Sheet1!$B$113:$B$124</c15:sqref>
                        </c15:fullRef>
                        <c15:formulaRef>
                          <c15:sqref>Sheet1!$B$115:$B$124</c15:sqref>
                        </c15:formulaRef>
                      </c:ext>
                    </c:extLst>
                    <c:numCache>
                      <c:formatCode>0%</c:formatCode>
                      <c:ptCount val="10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4FD9-453A-B64D-98DB1BFD6BFF}"/>
                  </c:ext>
                </c:extLst>
              </c15:ser>
            </c15:filteredLineSeries>
          </c:ext>
        </c:extLst>
      </c:lineChart>
      <c:catAx>
        <c:axId val="13008276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t-LT"/>
          </a:p>
        </c:txPr>
        <c:crossAx val="1300838479"/>
        <c:crosses val="autoZero"/>
        <c:auto val="1"/>
        <c:lblAlgn val="ctr"/>
        <c:lblOffset val="100"/>
        <c:noMultiLvlLbl val="0"/>
      </c:catAx>
      <c:valAx>
        <c:axId val="1300838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t-LT"/>
          </a:p>
        </c:txPr>
        <c:crossAx val="13008276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t-LT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t-L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1"/>
          <c:order val="11"/>
          <c:tx>
            <c:strRef>
              <c:f>Sheet1!$A$14</c:f>
              <c:strCache>
                <c:ptCount val="1"/>
                <c:pt idx="0">
                  <c:v>2^25 (33554432)   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t-L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Sheet1!$B$2:$I$2</c:f>
              <c:strCache>
                <c:ptCount val="8"/>
                <c:pt idx="0">
                  <c:v>1 gija</c:v>
                </c:pt>
                <c:pt idx="1">
                  <c:v>2 gijos</c:v>
                </c:pt>
                <c:pt idx="2">
                  <c:v>3 gijos</c:v>
                </c:pt>
                <c:pt idx="3">
                  <c:v>4 gijos</c:v>
                </c:pt>
                <c:pt idx="4">
                  <c:v>6 gijos</c:v>
                </c:pt>
                <c:pt idx="5">
                  <c:v>8 gijos</c:v>
                </c:pt>
                <c:pt idx="6">
                  <c:v>16 gijų</c:v>
                </c:pt>
                <c:pt idx="7">
                  <c:v>32 gijos</c:v>
                </c:pt>
              </c:strCache>
            </c:strRef>
          </c:cat>
          <c:val>
            <c:numRef>
              <c:f>Sheet1!$B$14:$I$14</c:f>
              <c:numCache>
                <c:formatCode>General</c:formatCode>
                <c:ptCount val="8"/>
                <c:pt idx="0">
                  <c:v>3920</c:v>
                </c:pt>
                <c:pt idx="1">
                  <c:v>2066</c:v>
                </c:pt>
                <c:pt idx="2">
                  <c:v>2057</c:v>
                </c:pt>
                <c:pt idx="3">
                  <c:v>2061</c:v>
                </c:pt>
                <c:pt idx="4">
                  <c:v>1134</c:v>
                </c:pt>
                <c:pt idx="5">
                  <c:v>1168</c:v>
                </c:pt>
                <c:pt idx="6">
                  <c:v>720</c:v>
                </c:pt>
                <c:pt idx="7">
                  <c:v>558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0A6-4A09-B92E-145F5811B2F1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273012367"/>
        <c:axId val="127301278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Sheet1!$A$3</c15:sqref>
                        </c15:formulaRef>
                      </c:ext>
                    </c:extLst>
                    <c:strCache>
                      <c:ptCount val="1"/>
                      <c:pt idx="0">
                        <c:v>2^14 (16384)      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lt-LT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Sheet1!$B$2:$I$2</c15:sqref>
                        </c15:formulaRef>
                      </c:ext>
                    </c:extLst>
                    <c:strCache>
                      <c:ptCount val="8"/>
                      <c:pt idx="0">
                        <c:v>1 gija</c:v>
                      </c:pt>
                      <c:pt idx="1">
                        <c:v>2 gijos</c:v>
                      </c:pt>
                      <c:pt idx="2">
                        <c:v>3 gijos</c:v>
                      </c:pt>
                      <c:pt idx="3">
                        <c:v>4 gijos</c:v>
                      </c:pt>
                      <c:pt idx="4">
                        <c:v>6 gijos</c:v>
                      </c:pt>
                      <c:pt idx="5">
                        <c:v>8 gijos</c:v>
                      </c:pt>
                      <c:pt idx="6">
                        <c:v>16 gijų</c:v>
                      </c:pt>
                      <c:pt idx="7">
                        <c:v>32 gijos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Sheet1!$B$3:$I$3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1</c:v>
                      </c:pt>
                      <c:pt idx="1">
                        <c:v>1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1</c:v>
                      </c:pt>
                      <c:pt idx="5">
                        <c:v>1</c:v>
                      </c:pt>
                      <c:pt idx="6">
                        <c:v>2</c:v>
                      </c:pt>
                      <c:pt idx="7">
                        <c:v>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60A6-4A09-B92E-145F5811B2F1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Sheet1!$A$4</c15:sqref>
                        </c15:formulaRef>
                      </c:ext>
                    </c:extLst>
                    <c:strCache>
                      <c:ptCount val="1"/>
                      <c:pt idx="0">
                        <c:v>2^15 (32768)      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lt-LT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Sheet1!$B$2:$I$2</c15:sqref>
                        </c15:formulaRef>
                      </c:ext>
                    </c:extLst>
                    <c:strCache>
                      <c:ptCount val="8"/>
                      <c:pt idx="0">
                        <c:v>1 gija</c:v>
                      </c:pt>
                      <c:pt idx="1">
                        <c:v>2 gijos</c:v>
                      </c:pt>
                      <c:pt idx="2">
                        <c:v>3 gijos</c:v>
                      </c:pt>
                      <c:pt idx="3">
                        <c:v>4 gijos</c:v>
                      </c:pt>
                      <c:pt idx="4">
                        <c:v>6 gijos</c:v>
                      </c:pt>
                      <c:pt idx="5">
                        <c:v>8 gijos</c:v>
                      </c:pt>
                      <c:pt idx="6">
                        <c:v>16 gijų</c:v>
                      </c:pt>
                      <c:pt idx="7">
                        <c:v>32 gijos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Sheet1!$B$4:$I$4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2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1</c:v>
                      </c:pt>
                      <c:pt idx="4">
                        <c:v>1</c:v>
                      </c:pt>
                      <c:pt idx="5">
                        <c:v>1</c:v>
                      </c:pt>
                      <c:pt idx="6">
                        <c:v>2</c:v>
                      </c:pt>
                      <c:pt idx="7">
                        <c:v>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60A6-4A09-B92E-145F5811B2F1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Sheet1!$A$5</c15:sqref>
                        </c15:formulaRef>
                      </c:ext>
                    </c:extLst>
                    <c:strCache>
                      <c:ptCount val="1"/>
                      <c:pt idx="0">
                        <c:v>2^16 (65536)      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lt-LT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Sheet1!$B$2:$I$2</c15:sqref>
                        </c15:formulaRef>
                      </c:ext>
                    </c:extLst>
                    <c:strCache>
                      <c:ptCount val="8"/>
                      <c:pt idx="0">
                        <c:v>1 gija</c:v>
                      </c:pt>
                      <c:pt idx="1">
                        <c:v>2 gijos</c:v>
                      </c:pt>
                      <c:pt idx="2">
                        <c:v>3 gijos</c:v>
                      </c:pt>
                      <c:pt idx="3">
                        <c:v>4 gijos</c:v>
                      </c:pt>
                      <c:pt idx="4">
                        <c:v>6 gijos</c:v>
                      </c:pt>
                      <c:pt idx="5">
                        <c:v>8 gijos</c:v>
                      </c:pt>
                      <c:pt idx="6">
                        <c:v>16 gijų</c:v>
                      </c:pt>
                      <c:pt idx="7">
                        <c:v>32 gijos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Sheet1!$B$5:$I$5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5</c:v>
                      </c:pt>
                      <c:pt idx="1">
                        <c:v>3</c:v>
                      </c:pt>
                      <c:pt idx="2">
                        <c:v>3</c:v>
                      </c:pt>
                      <c:pt idx="3">
                        <c:v>3</c:v>
                      </c:pt>
                      <c:pt idx="4">
                        <c:v>2</c:v>
                      </c:pt>
                      <c:pt idx="5">
                        <c:v>2</c:v>
                      </c:pt>
                      <c:pt idx="6">
                        <c:v>3</c:v>
                      </c:pt>
                      <c:pt idx="7">
                        <c:v>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60A6-4A09-B92E-145F5811B2F1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Sheet1!$A$6</c15:sqref>
                        </c15:formulaRef>
                      </c:ext>
                    </c:extLst>
                    <c:strCache>
                      <c:ptCount val="1"/>
                      <c:pt idx="0">
                        <c:v>2^17 (131072)     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lt-LT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Sheet1!$B$2:$I$2</c15:sqref>
                        </c15:formulaRef>
                      </c:ext>
                    </c:extLst>
                    <c:strCache>
                      <c:ptCount val="8"/>
                      <c:pt idx="0">
                        <c:v>1 gija</c:v>
                      </c:pt>
                      <c:pt idx="1">
                        <c:v>2 gijos</c:v>
                      </c:pt>
                      <c:pt idx="2">
                        <c:v>3 gijos</c:v>
                      </c:pt>
                      <c:pt idx="3">
                        <c:v>4 gijos</c:v>
                      </c:pt>
                      <c:pt idx="4">
                        <c:v>6 gijos</c:v>
                      </c:pt>
                      <c:pt idx="5">
                        <c:v>8 gijos</c:v>
                      </c:pt>
                      <c:pt idx="6">
                        <c:v>16 gijų</c:v>
                      </c:pt>
                      <c:pt idx="7">
                        <c:v>32 gijos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Sheet1!$B$6:$I$6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12</c:v>
                      </c:pt>
                      <c:pt idx="1">
                        <c:v>6</c:v>
                      </c:pt>
                      <c:pt idx="2">
                        <c:v>6</c:v>
                      </c:pt>
                      <c:pt idx="3">
                        <c:v>6</c:v>
                      </c:pt>
                      <c:pt idx="4">
                        <c:v>4</c:v>
                      </c:pt>
                      <c:pt idx="5">
                        <c:v>4</c:v>
                      </c:pt>
                      <c:pt idx="6">
                        <c:v>4</c:v>
                      </c:pt>
                      <c:pt idx="7">
                        <c:v>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60A6-4A09-B92E-145F5811B2F1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Sheet1!$A$7</c15:sqref>
                        </c15:formulaRef>
                      </c:ext>
                    </c:extLst>
                    <c:strCache>
                      <c:ptCount val="1"/>
                      <c:pt idx="0">
                        <c:v>2^18 (262144)     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lt-LT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Sheet1!$B$2:$I$2</c15:sqref>
                        </c15:formulaRef>
                      </c:ext>
                    </c:extLst>
                    <c:strCache>
                      <c:ptCount val="8"/>
                      <c:pt idx="0">
                        <c:v>1 gija</c:v>
                      </c:pt>
                      <c:pt idx="1">
                        <c:v>2 gijos</c:v>
                      </c:pt>
                      <c:pt idx="2">
                        <c:v>3 gijos</c:v>
                      </c:pt>
                      <c:pt idx="3">
                        <c:v>4 gijos</c:v>
                      </c:pt>
                      <c:pt idx="4">
                        <c:v>6 gijos</c:v>
                      </c:pt>
                      <c:pt idx="5">
                        <c:v>8 gijos</c:v>
                      </c:pt>
                      <c:pt idx="6">
                        <c:v>16 gijų</c:v>
                      </c:pt>
                      <c:pt idx="7">
                        <c:v>32 gijos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Sheet1!$B$7:$I$7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23</c:v>
                      </c:pt>
                      <c:pt idx="1">
                        <c:v>12</c:v>
                      </c:pt>
                      <c:pt idx="2">
                        <c:v>12</c:v>
                      </c:pt>
                      <c:pt idx="3">
                        <c:v>12</c:v>
                      </c:pt>
                      <c:pt idx="4">
                        <c:v>8</c:v>
                      </c:pt>
                      <c:pt idx="5">
                        <c:v>8</c:v>
                      </c:pt>
                      <c:pt idx="6">
                        <c:v>7</c:v>
                      </c:pt>
                      <c:pt idx="7">
                        <c:v>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60A6-4A09-B92E-145F5811B2F1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Sheet1!$A$8</c15:sqref>
                        </c15:formulaRef>
                      </c:ext>
                    </c:extLst>
                    <c:strCache>
                      <c:ptCount val="1"/>
                      <c:pt idx="0">
                        <c:v>2^19 (524288)     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lt-LT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Sheet1!$B$2:$I$2</c15:sqref>
                        </c15:formulaRef>
                      </c:ext>
                    </c:extLst>
                    <c:strCache>
                      <c:ptCount val="8"/>
                      <c:pt idx="0">
                        <c:v>1 gija</c:v>
                      </c:pt>
                      <c:pt idx="1">
                        <c:v>2 gijos</c:v>
                      </c:pt>
                      <c:pt idx="2">
                        <c:v>3 gijos</c:v>
                      </c:pt>
                      <c:pt idx="3">
                        <c:v>4 gijos</c:v>
                      </c:pt>
                      <c:pt idx="4">
                        <c:v>6 gijos</c:v>
                      </c:pt>
                      <c:pt idx="5">
                        <c:v>8 gijos</c:v>
                      </c:pt>
                      <c:pt idx="6">
                        <c:v>16 gijų</c:v>
                      </c:pt>
                      <c:pt idx="7">
                        <c:v>32 gijos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Sheet1!$B$8:$I$8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54</c:v>
                      </c:pt>
                      <c:pt idx="1">
                        <c:v>30</c:v>
                      </c:pt>
                      <c:pt idx="2">
                        <c:v>26</c:v>
                      </c:pt>
                      <c:pt idx="3">
                        <c:v>29</c:v>
                      </c:pt>
                      <c:pt idx="4">
                        <c:v>16</c:v>
                      </c:pt>
                      <c:pt idx="5">
                        <c:v>15</c:v>
                      </c:pt>
                      <c:pt idx="6">
                        <c:v>12</c:v>
                      </c:pt>
                      <c:pt idx="7">
                        <c:v>12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60A6-4A09-B92E-145F5811B2F1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Sheet1!$A$9</c15:sqref>
                        </c15:formulaRef>
                      </c:ext>
                    </c:extLst>
                    <c:strCache>
                      <c:ptCount val="1"/>
                      <c:pt idx="0">
                        <c:v>2^20 (1048576)    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lt-LT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Sheet1!$B$2:$I$2</c15:sqref>
                        </c15:formulaRef>
                      </c:ext>
                    </c:extLst>
                    <c:strCache>
                      <c:ptCount val="8"/>
                      <c:pt idx="0">
                        <c:v>1 gija</c:v>
                      </c:pt>
                      <c:pt idx="1">
                        <c:v>2 gijos</c:v>
                      </c:pt>
                      <c:pt idx="2">
                        <c:v>3 gijos</c:v>
                      </c:pt>
                      <c:pt idx="3">
                        <c:v>4 gijos</c:v>
                      </c:pt>
                      <c:pt idx="4">
                        <c:v>6 gijos</c:v>
                      </c:pt>
                      <c:pt idx="5">
                        <c:v>8 gijos</c:v>
                      </c:pt>
                      <c:pt idx="6">
                        <c:v>16 gijų</c:v>
                      </c:pt>
                      <c:pt idx="7">
                        <c:v>32 gijos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Sheet1!$B$9:$I$9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112</c:v>
                      </c:pt>
                      <c:pt idx="1">
                        <c:v>58</c:v>
                      </c:pt>
                      <c:pt idx="2">
                        <c:v>53</c:v>
                      </c:pt>
                      <c:pt idx="3">
                        <c:v>58</c:v>
                      </c:pt>
                      <c:pt idx="4">
                        <c:v>33</c:v>
                      </c:pt>
                      <c:pt idx="5">
                        <c:v>34</c:v>
                      </c:pt>
                      <c:pt idx="6">
                        <c:v>23</c:v>
                      </c:pt>
                      <c:pt idx="7">
                        <c:v>21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6-60A6-4A09-B92E-145F5811B2F1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Sheet1!$A$10</c15:sqref>
                        </c15:formulaRef>
                      </c:ext>
                    </c:extLst>
                    <c:strCache>
                      <c:ptCount val="1"/>
                      <c:pt idx="0">
                        <c:v>2^21 (2097152)    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</a:schemeClr>
                    </a:solidFill>
                    <a:ln w="9525">
                      <a:solidFill>
                        <a:schemeClr val="accent2">
                          <a:lumMod val="60000"/>
                        </a:schemeClr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lt-LT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Sheet1!$B$2:$I$2</c15:sqref>
                        </c15:formulaRef>
                      </c:ext>
                    </c:extLst>
                    <c:strCache>
                      <c:ptCount val="8"/>
                      <c:pt idx="0">
                        <c:v>1 gija</c:v>
                      </c:pt>
                      <c:pt idx="1">
                        <c:v>2 gijos</c:v>
                      </c:pt>
                      <c:pt idx="2">
                        <c:v>3 gijos</c:v>
                      </c:pt>
                      <c:pt idx="3">
                        <c:v>4 gijos</c:v>
                      </c:pt>
                      <c:pt idx="4">
                        <c:v>6 gijos</c:v>
                      </c:pt>
                      <c:pt idx="5">
                        <c:v>8 gijos</c:v>
                      </c:pt>
                      <c:pt idx="6">
                        <c:v>16 gijų</c:v>
                      </c:pt>
                      <c:pt idx="7">
                        <c:v>32 gijos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Sheet1!$B$10:$I$10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205</c:v>
                      </c:pt>
                      <c:pt idx="1">
                        <c:v>111</c:v>
                      </c:pt>
                      <c:pt idx="2">
                        <c:v>118</c:v>
                      </c:pt>
                      <c:pt idx="3">
                        <c:v>110</c:v>
                      </c:pt>
                      <c:pt idx="4">
                        <c:v>68</c:v>
                      </c:pt>
                      <c:pt idx="5">
                        <c:v>63</c:v>
                      </c:pt>
                      <c:pt idx="6">
                        <c:v>42</c:v>
                      </c:pt>
                      <c:pt idx="7">
                        <c:v>35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7-60A6-4A09-B92E-145F5811B2F1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Sheet1!$A$11</c15:sqref>
                        </c15:formulaRef>
                      </c:ext>
                    </c:extLst>
                    <c:strCache>
                      <c:ptCount val="1"/>
                      <c:pt idx="0">
                        <c:v>2^22 (4194304)    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60000"/>
                      </a:schemeClr>
                    </a:solidFill>
                    <a:ln w="9525">
                      <a:solidFill>
                        <a:schemeClr val="accent3">
                          <a:lumMod val="60000"/>
                        </a:schemeClr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lt-LT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Sheet1!$B$2:$I$2</c15:sqref>
                        </c15:formulaRef>
                      </c:ext>
                    </c:extLst>
                    <c:strCache>
                      <c:ptCount val="8"/>
                      <c:pt idx="0">
                        <c:v>1 gija</c:v>
                      </c:pt>
                      <c:pt idx="1">
                        <c:v>2 gijos</c:v>
                      </c:pt>
                      <c:pt idx="2">
                        <c:v>3 gijos</c:v>
                      </c:pt>
                      <c:pt idx="3">
                        <c:v>4 gijos</c:v>
                      </c:pt>
                      <c:pt idx="4">
                        <c:v>6 gijos</c:v>
                      </c:pt>
                      <c:pt idx="5">
                        <c:v>8 gijos</c:v>
                      </c:pt>
                      <c:pt idx="6">
                        <c:v>16 gijų</c:v>
                      </c:pt>
                      <c:pt idx="7">
                        <c:v>32 gijos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Sheet1!$B$11:$I$11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429</c:v>
                      </c:pt>
                      <c:pt idx="1">
                        <c:v>218</c:v>
                      </c:pt>
                      <c:pt idx="2">
                        <c:v>233</c:v>
                      </c:pt>
                      <c:pt idx="3">
                        <c:v>220</c:v>
                      </c:pt>
                      <c:pt idx="4">
                        <c:v>138</c:v>
                      </c:pt>
                      <c:pt idx="5">
                        <c:v>130</c:v>
                      </c:pt>
                      <c:pt idx="6">
                        <c:v>82</c:v>
                      </c:pt>
                      <c:pt idx="7">
                        <c:v>60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8-60A6-4A09-B92E-145F5811B2F1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Sheet1!$A$12</c15:sqref>
                        </c15:formulaRef>
                      </c:ext>
                    </c:extLst>
                    <c:strCache>
                      <c:ptCount val="1"/>
                      <c:pt idx="0">
                        <c:v>2^23 (8388608)    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>
                        <a:lumMod val="60000"/>
                      </a:schemeClr>
                    </a:solidFill>
                    <a:ln w="9525">
                      <a:solidFill>
                        <a:schemeClr val="accent4">
                          <a:lumMod val="60000"/>
                        </a:schemeClr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lt-LT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Sheet1!$B$2:$I$2</c15:sqref>
                        </c15:formulaRef>
                      </c:ext>
                    </c:extLst>
                    <c:strCache>
                      <c:ptCount val="8"/>
                      <c:pt idx="0">
                        <c:v>1 gija</c:v>
                      </c:pt>
                      <c:pt idx="1">
                        <c:v>2 gijos</c:v>
                      </c:pt>
                      <c:pt idx="2">
                        <c:v>3 gijos</c:v>
                      </c:pt>
                      <c:pt idx="3">
                        <c:v>4 gijos</c:v>
                      </c:pt>
                      <c:pt idx="4">
                        <c:v>6 gijos</c:v>
                      </c:pt>
                      <c:pt idx="5">
                        <c:v>8 gijos</c:v>
                      </c:pt>
                      <c:pt idx="6">
                        <c:v>16 gijų</c:v>
                      </c:pt>
                      <c:pt idx="7">
                        <c:v>32 gijos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Sheet1!$B$12:$I$12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940</c:v>
                      </c:pt>
                      <c:pt idx="1">
                        <c:v>501</c:v>
                      </c:pt>
                      <c:pt idx="2">
                        <c:v>481</c:v>
                      </c:pt>
                      <c:pt idx="3">
                        <c:v>505</c:v>
                      </c:pt>
                      <c:pt idx="4">
                        <c:v>271</c:v>
                      </c:pt>
                      <c:pt idx="5">
                        <c:v>282</c:v>
                      </c:pt>
                      <c:pt idx="6">
                        <c:v>175</c:v>
                      </c:pt>
                      <c:pt idx="7">
                        <c:v>129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9-60A6-4A09-B92E-145F5811B2F1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Sheet1!$A$13</c15:sqref>
                        </c15:formulaRef>
                      </c:ext>
                    </c:extLst>
                    <c:strCache>
                      <c:ptCount val="1"/>
                      <c:pt idx="0">
                        <c:v>2^24 (16777216)   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>
                        <a:lumMod val="60000"/>
                      </a:schemeClr>
                    </a:solidFill>
                    <a:ln w="9525">
                      <a:solidFill>
                        <a:schemeClr val="accent5">
                          <a:lumMod val="60000"/>
                        </a:schemeClr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lt-LT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Sheet1!$B$2:$I$2</c15:sqref>
                        </c15:formulaRef>
                      </c:ext>
                    </c:extLst>
                    <c:strCache>
                      <c:ptCount val="8"/>
                      <c:pt idx="0">
                        <c:v>1 gija</c:v>
                      </c:pt>
                      <c:pt idx="1">
                        <c:v>2 gijos</c:v>
                      </c:pt>
                      <c:pt idx="2">
                        <c:v>3 gijos</c:v>
                      </c:pt>
                      <c:pt idx="3">
                        <c:v>4 gijos</c:v>
                      </c:pt>
                      <c:pt idx="4">
                        <c:v>6 gijos</c:v>
                      </c:pt>
                      <c:pt idx="5">
                        <c:v>8 gijos</c:v>
                      </c:pt>
                      <c:pt idx="6">
                        <c:v>16 gijų</c:v>
                      </c:pt>
                      <c:pt idx="7">
                        <c:v>32 gijos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Sheet1!$B$13:$I$13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1941</c:v>
                      </c:pt>
                      <c:pt idx="1">
                        <c:v>1005</c:v>
                      </c:pt>
                      <c:pt idx="2">
                        <c:v>978</c:v>
                      </c:pt>
                      <c:pt idx="3">
                        <c:v>999</c:v>
                      </c:pt>
                      <c:pt idx="4">
                        <c:v>560</c:v>
                      </c:pt>
                      <c:pt idx="5">
                        <c:v>557</c:v>
                      </c:pt>
                      <c:pt idx="6">
                        <c:v>353</c:v>
                      </c:pt>
                      <c:pt idx="7">
                        <c:v>269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A-60A6-4A09-B92E-145F5811B2F1}"/>
                  </c:ext>
                </c:extLst>
              </c15:ser>
            </c15:filteredLineSeries>
          </c:ext>
        </c:extLst>
      </c:lineChart>
      <c:lineChart>
        <c:grouping val="standard"/>
        <c:varyColors val="0"/>
        <c:ser>
          <c:idx val="12"/>
          <c:order val="12"/>
          <c:tx>
            <c:strRef>
              <c:f>Sheet1!$A$15</c:f>
              <c:strCache>
                <c:ptCount val="1"/>
                <c:pt idx="0">
                  <c:v>2^25 idealus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t-L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Sheet1!$B$2:$I$2</c:f>
              <c:strCache>
                <c:ptCount val="8"/>
                <c:pt idx="0">
                  <c:v>1 gija</c:v>
                </c:pt>
                <c:pt idx="1">
                  <c:v>2 gijos</c:v>
                </c:pt>
                <c:pt idx="2">
                  <c:v>3 gijos</c:v>
                </c:pt>
                <c:pt idx="3">
                  <c:v>4 gijos</c:v>
                </c:pt>
                <c:pt idx="4">
                  <c:v>6 gijos</c:v>
                </c:pt>
                <c:pt idx="5">
                  <c:v>8 gijos</c:v>
                </c:pt>
                <c:pt idx="6">
                  <c:v>16 gijų</c:v>
                </c:pt>
                <c:pt idx="7">
                  <c:v>32 gijos</c:v>
                </c:pt>
              </c:strCache>
            </c:strRef>
          </c:cat>
          <c:val>
            <c:numRef>
              <c:f>Sheet1!$B$15:$I$15</c:f>
              <c:numCache>
                <c:formatCode>0</c:formatCode>
                <c:ptCount val="8"/>
                <c:pt idx="0">
                  <c:v>3920</c:v>
                </c:pt>
                <c:pt idx="1">
                  <c:v>1960</c:v>
                </c:pt>
                <c:pt idx="2">
                  <c:v>1306.6666666666667</c:v>
                </c:pt>
                <c:pt idx="3">
                  <c:v>980</c:v>
                </c:pt>
                <c:pt idx="4">
                  <c:v>653.33333333333337</c:v>
                </c:pt>
                <c:pt idx="5">
                  <c:v>490</c:v>
                </c:pt>
                <c:pt idx="6">
                  <c:v>245</c:v>
                </c:pt>
                <c:pt idx="7">
                  <c:v>122.5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60A6-4A09-B92E-145F5811B2F1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68942304"/>
        <c:axId val="1068924832"/>
      </c:lineChart>
      <c:catAx>
        <c:axId val="12730123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lt-LT"/>
                  <a:t>R</a:t>
                </a:r>
                <a:r>
                  <a:rPr lang="en-US"/>
                  <a:t>eal</a:t>
                </a:r>
                <a:r>
                  <a:rPr lang="lt-LT"/>
                  <a:t>us</a:t>
                </a:r>
                <a:r>
                  <a:rPr lang="lt-LT" baseline="0"/>
                  <a:t> greitis vs idealus</a:t>
                </a:r>
                <a:endParaRPr lang="lt-LT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t-L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t-LT"/>
          </a:p>
        </c:txPr>
        <c:crossAx val="1273012783"/>
        <c:crosses val="autoZero"/>
        <c:auto val="1"/>
        <c:lblAlgn val="ctr"/>
        <c:lblOffset val="100"/>
        <c:noMultiLvlLbl val="0"/>
      </c:catAx>
      <c:valAx>
        <c:axId val="1273012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ms</a:t>
                </a:r>
                <a:endParaRPr lang="lt-LT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t-L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t-LT"/>
          </a:p>
        </c:txPr>
        <c:crossAx val="1273012367"/>
        <c:crosses val="autoZero"/>
        <c:crossBetween val="between"/>
      </c:valAx>
      <c:valAx>
        <c:axId val="1068924832"/>
        <c:scaling>
          <c:orientation val="minMax"/>
        </c:scaling>
        <c:delete val="0"/>
        <c:axPos val="r"/>
        <c:numFmt formatCode="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t-LT"/>
          </a:p>
        </c:txPr>
        <c:crossAx val="1068942304"/>
        <c:crosses val="max"/>
        <c:crossBetween val="between"/>
      </c:valAx>
      <c:catAx>
        <c:axId val="1068942304"/>
        <c:scaling>
          <c:orientation val="minMax"/>
        </c:scaling>
        <c:delete val="0"/>
        <c:axPos val="t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t-LT"/>
          </a:p>
        </c:txPr>
        <c:crossAx val="1068924832"/>
        <c:crosses val="max"/>
        <c:auto val="1"/>
        <c:lblAlgn val="ctr"/>
        <c:lblOffset val="100"/>
        <c:noMultiLvlLbl val="0"/>
      </c:cat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t-LT"/>
          </a:p>
        </c:txPr>
      </c:dTable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t-LT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t-L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257175</xdr:colOff>
      <xdr:row>17</xdr:row>
      <xdr:rowOff>142875</xdr:rowOff>
    </xdr:from>
    <xdr:to>
      <xdr:col>18</xdr:col>
      <xdr:colOff>0</xdr:colOff>
      <xdr:row>59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D969876-872C-F786-D49D-BF3A84C5C7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180975</xdr:colOff>
      <xdr:row>126</xdr:row>
      <xdr:rowOff>119062</xdr:rowOff>
    </xdr:from>
    <xdr:to>
      <xdr:col>11</xdr:col>
      <xdr:colOff>47625</xdr:colOff>
      <xdr:row>154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172E143-6B98-27E5-86E1-20C6EBFFE5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219075</xdr:colOff>
      <xdr:row>155</xdr:row>
      <xdr:rowOff>142875</xdr:rowOff>
    </xdr:from>
    <xdr:to>
      <xdr:col>11</xdr:col>
      <xdr:colOff>85725</xdr:colOff>
      <xdr:row>183</xdr:row>
      <xdr:rowOff>138113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C9CEADA-3814-4BFC-8108-CF9D7CB101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238126</xdr:colOff>
      <xdr:row>62</xdr:row>
      <xdr:rowOff>76200</xdr:rowOff>
    </xdr:from>
    <xdr:to>
      <xdr:col>8</xdr:col>
      <xdr:colOff>66676</xdr:colOff>
      <xdr:row>90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9CEEA5F-5A98-419D-9234-6EB62993EF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CCE9D-6F94-40D3-99CD-016EDD3ED3FF}">
  <dimension ref="A1:J125"/>
  <sheetViews>
    <sheetView tabSelected="1" topLeftCell="A46" zoomScaleNormal="100" workbookViewId="0">
      <selection activeCell="I90" sqref="I90"/>
    </sheetView>
  </sheetViews>
  <sheetFormatPr defaultRowHeight="15" x14ac:dyDescent="0.25"/>
  <cols>
    <col min="1" max="1" width="18" bestFit="1" customWidth="1"/>
    <col min="2" max="3" width="18.42578125" bestFit="1" customWidth="1"/>
    <col min="4" max="4" width="18.42578125" customWidth="1"/>
    <col min="5" max="5" width="18.42578125" bestFit="1" customWidth="1"/>
    <col min="6" max="6" width="18.42578125" customWidth="1"/>
    <col min="7" max="7" width="18.42578125" bestFit="1" customWidth="1"/>
    <col min="8" max="8" width="18.5703125" bestFit="1" customWidth="1"/>
    <col min="9" max="9" width="19.42578125" bestFit="1" customWidth="1"/>
  </cols>
  <sheetData>
    <row r="1" spans="1:9" x14ac:dyDescent="0.25">
      <c r="A1" s="13" t="s">
        <v>9</v>
      </c>
      <c r="B1" s="13"/>
      <c r="C1" s="13"/>
      <c r="D1" s="13"/>
      <c r="E1" s="13"/>
      <c r="F1" s="13"/>
      <c r="G1" s="13"/>
      <c r="H1" s="13"/>
      <c r="I1" s="13"/>
    </row>
    <row r="2" spans="1:9" x14ac:dyDescent="0.25">
      <c r="A2" s="9" t="s">
        <v>0</v>
      </c>
      <c r="B2" s="10" t="s">
        <v>1</v>
      </c>
      <c r="C2" s="9" t="s">
        <v>2</v>
      </c>
      <c r="D2" s="9" t="s">
        <v>3</v>
      </c>
      <c r="E2" s="9" t="s">
        <v>4</v>
      </c>
      <c r="F2" s="9" t="s">
        <v>5</v>
      </c>
      <c r="G2" s="9" t="s">
        <v>6</v>
      </c>
      <c r="H2" s="9" t="s">
        <v>10</v>
      </c>
      <c r="I2" s="9" t="s">
        <v>8</v>
      </c>
    </row>
    <row r="3" spans="1:9" x14ac:dyDescent="0.25">
      <c r="A3" s="11" t="s">
        <v>14</v>
      </c>
      <c r="B3">
        <v>1</v>
      </c>
      <c r="C3">
        <v>1</v>
      </c>
      <c r="D3">
        <v>0</v>
      </c>
      <c r="E3">
        <v>0</v>
      </c>
      <c r="F3">
        <v>1</v>
      </c>
      <c r="G3">
        <v>1</v>
      </c>
      <c r="H3">
        <v>2</v>
      </c>
      <c r="I3" s="5">
        <v>4</v>
      </c>
    </row>
    <row r="4" spans="1:9" x14ac:dyDescent="0.25">
      <c r="A4" s="11" t="s">
        <v>15</v>
      </c>
      <c r="B4">
        <v>2</v>
      </c>
      <c r="C4">
        <v>1</v>
      </c>
      <c r="D4">
        <v>1</v>
      </c>
      <c r="E4">
        <v>1</v>
      </c>
      <c r="F4">
        <v>1</v>
      </c>
      <c r="G4">
        <v>1</v>
      </c>
      <c r="H4">
        <v>2</v>
      </c>
      <c r="I4" s="5">
        <v>5</v>
      </c>
    </row>
    <row r="5" spans="1:9" x14ac:dyDescent="0.25">
      <c r="A5" s="11" t="s">
        <v>16</v>
      </c>
      <c r="B5">
        <v>5</v>
      </c>
      <c r="C5">
        <v>3</v>
      </c>
      <c r="D5">
        <v>3</v>
      </c>
      <c r="E5">
        <v>3</v>
      </c>
      <c r="F5">
        <v>2</v>
      </c>
      <c r="G5">
        <v>2</v>
      </c>
      <c r="H5">
        <v>3</v>
      </c>
      <c r="I5" s="5">
        <v>3</v>
      </c>
    </row>
    <row r="6" spans="1:9" x14ac:dyDescent="0.25">
      <c r="A6" s="11" t="s">
        <v>17</v>
      </c>
      <c r="B6">
        <v>12</v>
      </c>
      <c r="C6">
        <v>6</v>
      </c>
      <c r="D6">
        <v>6</v>
      </c>
      <c r="E6">
        <v>6</v>
      </c>
      <c r="F6">
        <v>4</v>
      </c>
      <c r="G6">
        <v>4</v>
      </c>
      <c r="H6">
        <v>4</v>
      </c>
      <c r="I6" s="5">
        <v>6</v>
      </c>
    </row>
    <row r="7" spans="1:9" x14ac:dyDescent="0.25">
      <c r="A7" s="11" t="s">
        <v>18</v>
      </c>
      <c r="B7">
        <v>23</v>
      </c>
      <c r="C7">
        <v>12</v>
      </c>
      <c r="D7">
        <v>12</v>
      </c>
      <c r="E7">
        <v>12</v>
      </c>
      <c r="F7">
        <v>8</v>
      </c>
      <c r="G7">
        <v>8</v>
      </c>
      <c r="H7">
        <v>7</v>
      </c>
      <c r="I7" s="5">
        <v>8</v>
      </c>
    </row>
    <row r="8" spans="1:9" x14ac:dyDescent="0.25">
      <c r="A8" s="11" t="s">
        <v>19</v>
      </c>
      <c r="B8">
        <v>54</v>
      </c>
      <c r="C8">
        <v>30</v>
      </c>
      <c r="D8">
        <v>26</v>
      </c>
      <c r="E8">
        <v>29</v>
      </c>
      <c r="F8">
        <v>16</v>
      </c>
      <c r="G8">
        <v>15</v>
      </c>
      <c r="H8">
        <v>12</v>
      </c>
      <c r="I8" s="5">
        <v>12</v>
      </c>
    </row>
    <row r="9" spans="1:9" x14ac:dyDescent="0.25">
      <c r="A9" s="11" t="s">
        <v>20</v>
      </c>
      <c r="B9">
        <v>112</v>
      </c>
      <c r="C9">
        <v>58</v>
      </c>
      <c r="D9">
        <v>53</v>
      </c>
      <c r="E9">
        <v>58</v>
      </c>
      <c r="F9">
        <v>33</v>
      </c>
      <c r="G9">
        <v>34</v>
      </c>
      <c r="H9">
        <v>23</v>
      </c>
      <c r="I9" s="5">
        <v>21</v>
      </c>
    </row>
    <row r="10" spans="1:9" x14ac:dyDescent="0.25">
      <c r="A10" s="11" t="s">
        <v>21</v>
      </c>
      <c r="B10">
        <v>205</v>
      </c>
      <c r="C10">
        <v>111</v>
      </c>
      <c r="D10">
        <v>118</v>
      </c>
      <c r="E10">
        <v>110</v>
      </c>
      <c r="F10">
        <v>68</v>
      </c>
      <c r="G10">
        <v>63</v>
      </c>
      <c r="H10">
        <v>42</v>
      </c>
      <c r="I10" s="5">
        <v>35</v>
      </c>
    </row>
    <row r="11" spans="1:9" x14ac:dyDescent="0.25">
      <c r="A11" s="11" t="s">
        <v>22</v>
      </c>
      <c r="B11">
        <v>429</v>
      </c>
      <c r="C11">
        <v>218</v>
      </c>
      <c r="D11">
        <v>233</v>
      </c>
      <c r="E11">
        <v>220</v>
      </c>
      <c r="F11">
        <v>138</v>
      </c>
      <c r="G11">
        <v>130</v>
      </c>
      <c r="H11">
        <v>82</v>
      </c>
      <c r="I11" s="5">
        <v>60</v>
      </c>
    </row>
    <row r="12" spans="1:9" x14ac:dyDescent="0.25">
      <c r="A12" s="11" t="s">
        <v>23</v>
      </c>
      <c r="B12">
        <v>940</v>
      </c>
      <c r="C12">
        <v>501</v>
      </c>
      <c r="D12">
        <v>481</v>
      </c>
      <c r="E12">
        <v>505</v>
      </c>
      <c r="F12">
        <v>271</v>
      </c>
      <c r="G12">
        <v>282</v>
      </c>
      <c r="H12">
        <v>175</v>
      </c>
      <c r="I12" s="5">
        <v>129</v>
      </c>
    </row>
    <row r="13" spans="1:9" x14ac:dyDescent="0.25">
      <c r="A13" s="11" t="s">
        <v>24</v>
      </c>
      <c r="B13">
        <v>1941</v>
      </c>
      <c r="C13">
        <v>1005</v>
      </c>
      <c r="D13">
        <v>978</v>
      </c>
      <c r="E13">
        <v>999</v>
      </c>
      <c r="F13">
        <v>560</v>
      </c>
      <c r="G13">
        <v>557</v>
      </c>
      <c r="H13">
        <v>353</v>
      </c>
      <c r="I13" s="5">
        <v>269</v>
      </c>
    </row>
    <row r="14" spans="1:9" x14ac:dyDescent="0.25">
      <c r="A14" s="12" t="s">
        <v>25</v>
      </c>
      <c r="B14" s="6">
        <v>3920</v>
      </c>
      <c r="C14" s="6">
        <v>2066</v>
      </c>
      <c r="D14" s="6">
        <v>2057</v>
      </c>
      <c r="E14" s="6">
        <v>2061</v>
      </c>
      <c r="F14" s="6">
        <v>1134</v>
      </c>
      <c r="G14" s="6">
        <v>1168</v>
      </c>
      <c r="H14" s="6">
        <v>720</v>
      </c>
      <c r="I14" s="7">
        <v>558</v>
      </c>
    </row>
    <row r="15" spans="1:9" x14ac:dyDescent="0.25">
      <c r="A15" s="12" t="s">
        <v>13</v>
      </c>
      <c r="B15" s="20">
        <f>$B$14</f>
        <v>3920</v>
      </c>
      <c r="C15" s="21">
        <f>$B$15/2</f>
        <v>1960</v>
      </c>
      <c r="D15" s="21">
        <f>$B$15/3</f>
        <v>1306.6666666666667</v>
      </c>
      <c r="E15" s="21">
        <f>$B$15/4</f>
        <v>980</v>
      </c>
      <c r="F15" s="21">
        <f>$B$15/6</f>
        <v>653.33333333333337</v>
      </c>
      <c r="G15" s="21">
        <f>$B$15/8</f>
        <v>490</v>
      </c>
      <c r="H15" s="21">
        <f>$B$15/16</f>
        <v>245</v>
      </c>
      <c r="I15" s="22">
        <f>$B$15/32</f>
        <v>122.5</v>
      </c>
    </row>
    <row r="111" spans="1:9" x14ac:dyDescent="0.25">
      <c r="A111" s="14" t="s">
        <v>11</v>
      </c>
      <c r="B111" s="14"/>
      <c r="C111" s="14"/>
      <c r="D111" s="14"/>
      <c r="E111" s="14"/>
      <c r="F111" s="14"/>
      <c r="G111" s="14"/>
      <c r="H111" s="14"/>
      <c r="I111" s="14"/>
    </row>
    <row r="112" spans="1:9" x14ac:dyDescent="0.25">
      <c r="A112" s="8" t="str">
        <f>A2</f>
        <v xml:space="preserve"> Masyvo dydis      </v>
      </c>
      <c r="B112" s="8" t="s">
        <v>1</v>
      </c>
      <c r="C112" s="8" t="s">
        <v>2</v>
      </c>
      <c r="D112" s="8" t="s">
        <v>3</v>
      </c>
      <c r="E112" s="8" t="s">
        <v>4</v>
      </c>
      <c r="F112" s="8" t="s">
        <v>5</v>
      </c>
      <c r="G112" s="8" t="s">
        <v>6</v>
      </c>
      <c r="H112" s="8" t="s">
        <v>7</v>
      </c>
      <c r="I112" s="8" t="s">
        <v>8</v>
      </c>
    </row>
    <row r="113" spans="1:10" x14ac:dyDescent="0.25">
      <c r="A113" s="11" t="str">
        <f>A3</f>
        <v xml:space="preserve">2^14 (16384)      </v>
      </c>
      <c r="B113" s="1">
        <f>0</f>
        <v>0</v>
      </c>
      <c r="C113" s="1">
        <f>IF(AND($B3&gt;0),(C3-$B3)/$B3,0)</f>
        <v>0</v>
      </c>
      <c r="D113" s="1">
        <f>IF(AND($B3&gt;0),(D3-$B3)/$B3,0)</f>
        <v>-1</v>
      </c>
      <c r="E113" s="1">
        <f>IF(AND($B3&gt;0),(E3-$B3)/$B3,0)</f>
        <v>-1</v>
      </c>
      <c r="F113" s="1">
        <f>IF(AND($B3&gt;0),(F3-$B3)/$B3,0)</f>
        <v>0</v>
      </c>
      <c r="G113" s="1">
        <f>IF(AND($B3&gt;0),(G3-$B3)/$B3,0)</f>
        <v>0</v>
      </c>
      <c r="H113" s="1">
        <f>IF(AND($B3&gt;0),(H3-$B3)/$B3,0)</f>
        <v>1</v>
      </c>
      <c r="I113" s="17">
        <f>IF(AND($B3&gt;0),(I3-$B3)/$B3,0)</f>
        <v>3</v>
      </c>
      <c r="J113" s="16"/>
    </row>
    <row r="114" spans="1:10" x14ac:dyDescent="0.25">
      <c r="A114" s="11" t="str">
        <f>A4</f>
        <v xml:space="preserve">2^15 (32768)      </v>
      </c>
      <c r="B114" s="1">
        <f>0</f>
        <v>0</v>
      </c>
      <c r="C114" s="1">
        <f>IF(AND($B4&gt;0),(C4-$B4)/$B4,0)</f>
        <v>-0.5</v>
      </c>
      <c r="D114" s="1">
        <f>IF(AND($B4&gt;0),(D4-$B4)/$B4,0)</f>
        <v>-0.5</v>
      </c>
      <c r="E114" s="1">
        <f>IF(AND($B4&gt;0),(E4-$B4)/$B4,0)</f>
        <v>-0.5</v>
      </c>
      <c r="F114" s="1">
        <f>IF(AND($B4&gt;0),(F4-$B4)/$B4,0)</f>
        <v>-0.5</v>
      </c>
      <c r="G114" s="1">
        <f>IF(AND($B4&gt;0),(G4-$B4)/$B4,0)</f>
        <v>-0.5</v>
      </c>
      <c r="H114" s="1">
        <f>IF(AND($B4&gt;0),(H4-$B4)/$B4,0)</f>
        <v>0</v>
      </c>
      <c r="I114" s="2">
        <f>IF(AND($B4&gt;0),(I4-$B4)/$B4,0)</f>
        <v>1.5</v>
      </c>
      <c r="J114" s="16"/>
    </row>
    <row r="115" spans="1:10" x14ac:dyDescent="0.25">
      <c r="A115" s="11" t="str">
        <f>A5</f>
        <v xml:space="preserve">2^16 (65536)      </v>
      </c>
      <c r="B115" s="1">
        <f>0</f>
        <v>0</v>
      </c>
      <c r="C115" s="1">
        <f>IF(AND($B5&gt;0),(C5-$B5)/$B5,0)</f>
        <v>-0.4</v>
      </c>
      <c r="D115" s="1">
        <f>IF(AND($B5&gt;0),(D5-$B5)/$B5,0)</f>
        <v>-0.4</v>
      </c>
      <c r="E115" s="1">
        <f>IF(AND($B5&gt;0),(E5-$B5)/$B5,0)</f>
        <v>-0.4</v>
      </c>
      <c r="F115" s="1">
        <f>IF(AND($B5&gt;0),(F5-$B5)/$B5,0)</f>
        <v>-0.6</v>
      </c>
      <c r="G115" s="1">
        <f>IF(AND($B5&gt;0),(G5-$B5)/$B5,0)</f>
        <v>-0.6</v>
      </c>
      <c r="H115" s="1">
        <f>IF(AND($B5&gt;0),(H5-$B5)/$B5,0)</f>
        <v>-0.4</v>
      </c>
      <c r="I115" s="2">
        <f>IF(AND($B5&gt;0),(I5-$B5)/$B5,0)</f>
        <v>-0.4</v>
      </c>
      <c r="J115" s="16"/>
    </row>
    <row r="116" spans="1:10" x14ac:dyDescent="0.25">
      <c r="A116" s="11" t="str">
        <f>A6</f>
        <v xml:space="preserve">2^17 (131072)     </v>
      </c>
      <c r="B116" s="1">
        <f>0</f>
        <v>0</v>
      </c>
      <c r="C116" s="1">
        <f>IF(AND($B6&gt;0),(C6-$B6)/$B6,0)</f>
        <v>-0.5</v>
      </c>
      <c r="D116" s="1">
        <f>IF(AND($B6&gt;0),(D6-$B6)/$B6,0)</f>
        <v>-0.5</v>
      </c>
      <c r="E116" s="1">
        <f>IF(AND($B6&gt;0),(E6-$B6)/$B6,0)</f>
        <v>-0.5</v>
      </c>
      <c r="F116" s="1">
        <f>IF(AND($B6&gt;0),(F6-$B6)/$B6,0)</f>
        <v>-0.66666666666666663</v>
      </c>
      <c r="G116" s="1">
        <f>IF(AND($B6&gt;0),(G6-$B6)/$B6,0)</f>
        <v>-0.66666666666666663</v>
      </c>
      <c r="H116" s="1">
        <f>IF(AND($B6&gt;0),(H6-$B6)/$B6,0)</f>
        <v>-0.66666666666666663</v>
      </c>
      <c r="I116" s="2">
        <f>IF(AND($B6&gt;0),(I6-$B6)/$B6,0)</f>
        <v>-0.5</v>
      </c>
      <c r="J116" s="16"/>
    </row>
    <row r="117" spans="1:10" x14ac:dyDescent="0.25">
      <c r="A117" s="11" t="str">
        <f>A7</f>
        <v xml:space="preserve">2^18 (262144)     </v>
      </c>
      <c r="B117" s="1">
        <f>0</f>
        <v>0</v>
      </c>
      <c r="C117" s="1">
        <f>IF(AND($B7&gt;0),(C7-$B7)/$B7,0)</f>
        <v>-0.47826086956521741</v>
      </c>
      <c r="D117" s="1">
        <f>IF(AND($B7&gt;0),(D7-$B7)/$B7,0)</f>
        <v>-0.47826086956521741</v>
      </c>
      <c r="E117" s="1">
        <f>IF(AND($B7&gt;0),(E7-$B7)/$B7,0)</f>
        <v>-0.47826086956521741</v>
      </c>
      <c r="F117" s="1">
        <f>IF(AND($B7&gt;0),(F7-$B7)/$B7,0)</f>
        <v>-0.65217391304347827</v>
      </c>
      <c r="G117" s="1">
        <f>IF(AND($B7&gt;0),(G7-$B7)/$B7,0)</f>
        <v>-0.65217391304347827</v>
      </c>
      <c r="H117" s="1">
        <f>IF(AND($B7&gt;0),(H7-$B7)/$B7,0)</f>
        <v>-0.69565217391304346</v>
      </c>
      <c r="I117" s="2">
        <f>IF(AND($B7&gt;0),(I7-$B7)/$B7,0)</f>
        <v>-0.65217391304347827</v>
      </c>
      <c r="J117" s="16"/>
    </row>
    <row r="118" spans="1:10" x14ac:dyDescent="0.25">
      <c r="A118" s="11" t="str">
        <f>A8</f>
        <v xml:space="preserve">2^19 (524288)     </v>
      </c>
      <c r="B118" s="1">
        <f>0</f>
        <v>0</v>
      </c>
      <c r="C118" s="1">
        <f>IF(AND($B8&gt;0),(C8-$B8)/$B8,0)</f>
        <v>-0.44444444444444442</v>
      </c>
      <c r="D118" s="1">
        <f>IF(AND($B8&gt;0),(D8-$B8)/$B8,0)</f>
        <v>-0.51851851851851849</v>
      </c>
      <c r="E118" s="1">
        <f>IF(AND($B8&gt;0),(E8-$B8)/$B8,0)</f>
        <v>-0.46296296296296297</v>
      </c>
      <c r="F118" s="1">
        <f>IF(AND($B8&gt;0),(F8-$B8)/$B8,0)</f>
        <v>-0.70370370370370372</v>
      </c>
      <c r="G118" s="1">
        <f>IF(AND($B8&gt;0),(G8-$B8)/$B8,0)</f>
        <v>-0.72222222222222221</v>
      </c>
      <c r="H118" s="1">
        <f>IF(AND($B8&gt;0),(H8-$B8)/$B8,0)</f>
        <v>-0.77777777777777779</v>
      </c>
      <c r="I118" s="2">
        <f>IF(AND($B8&gt;0),(I8-$B8)/$B8,0)</f>
        <v>-0.77777777777777779</v>
      </c>
      <c r="J118" s="16"/>
    </row>
    <row r="119" spans="1:10" x14ac:dyDescent="0.25">
      <c r="A119" s="11" t="str">
        <f>A9</f>
        <v xml:space="preserve">2^20 (1048576)    </v>
      </c>
      <c r="B119" s="1">
        <f>0</f>
        <v>0</v>
      </c>
      <c r="C119" s="1">
        <f>IF(AND($B9&gt;0),(C9-$B9)/$B9,0)</f>
        <v>-0.48214285714285715</v>
      </c>
      <c r="D119" s="1">
        <f>IF(AND($B9&gt;0),(D9-$B9)/$B9,0)</f>
        <v>-0.5267857142857143</v>
      </c>
      <c r="E119" s="1">
        <f>IF(AND($B9&gt;0),(E9-$B9)/$B9,0)</f>
        <v>-0.48214285714285715</v>
      </c>
      <c r="F119" s="1">
        <f>IF(AND($B9&gt;0),(F9-$B9)/$B9,0)</f>
        <v>-0.7053571428571429</v>
      </c>
      <c r="G119" s="1">
        <f>IF(AND($B9&gt;0),(G9-$B9)/$B9,0)</f>
        <v>-0.6964285714285714</v>
      </c>
      <c r="H119" s="1">
        <f>IF(AND($B9&gt;0),(H9-$B9)/$B9,0)</f>
        <v>-0.7946428571428571</v>
      </c>
      <c r="I119" s="2">
        <f>IF(AND($B9&gt;0),(I9-$B9)/$B9,0)</f>
        <v>-0.8125</v>
      </c>
      <c r="J119" s="16"/>
    </row>
    <row r="120" spans="1:10" x14ac:dyDescent="0.25">
      <c r="A120" s="11" t="str">
        <f>A10</f>
        <v xml:space="preserve">2^21 (2097152)    </v>
      </c>
      <c r="B120" s="1">
        <f>0</f>
        <v>0</v>
      </c>
      <c r="C120" s="1">
        <f>IF(AND($B10&gt;0),(C10-$B10)/$B10,0)</f>
        <v>-0.45853658536585368</v>
      </c>
      <c r="D120" s="1">
        <f>IF(AND($B10&gt;0),(D10-$B10)/$B10,0)</f>
        <v>-0.42439024390243901</v>
      </c>
      <c r="E120" s="1">
        <f>IF(AND($B10&gt;0),(E10-$B10)/$B10,0)</f>
        <v>-0.46341463414634149</v>
      </c>
      <c r="F120" s="1">
        <f>IF(AND($B10&gt;0),(F10-$B10)/$B10,0)</f>
        <v>-0.66829268292682931</v>
      </c>
      <c r="G120" s="1">
        <f>IF(AND($B10&gt;0),(G10-$B10)/$B10,0)</f>
        <v>-0.69268292682926824</v>
      </c>
      <c r="H120" s="1">
        <f>IF(AND($B10&gt;0),(H10-$B10)/$B10,0)</f>
        <v>-0.79512195121951224</v>
      </c>
      <c r="I120" s="2">
        <f>IF(AND($B10&gt;0),(I10-$B10)/$B10,0)</f>
        <v>-0.82926829268292679</v>
      </c>
      <c r="J120" s="16"/>
    </row>
    <row r="121" spans="1:10" x14ac:dyDescent="0.25">
      <c r="A121" s="11" t="str">
        <f>A11</f>
        <v xml:space="preserve">2^22 (4194304)    </v>
      </c>
      <c r="B121" s="1">
        <f>0</f>
        <v>0</v>
      </c>
      <c r="C121" s="1">
        <f>IF(AND($B11&gt;0),(C11-$B11)/$B11,0)</f>
        <v>-0.49184149184149184</v>
      </c>
      <c r="D121" s="1">
        <f>IF(AND($B11&gt;0),(D11-$B11)/$B11,0)</f>
        <v>-0.45687645687645689</v>
      </c>
      <c r="E121" s="1">
        <f>IF(AND($B11&gt;0),(E11-$B11)/$B11,0)</f>
        <v>-0.48717948717948717</v>
      </c>
      <c r="F121" s="1">
        <f>IF(AND($B11&gt;0),(F11-$B11)/$B11,0)</f>
        <v>-0.67832167832167833</v>
      </c>
      <c r="G121" s="1">
        <f>IF(AND($B11&gt;0),(G11-$B11)/$B11,0)</f>
        <v>-0.69696969696969702</v>
      </c>
      <c r="H121" s="1">
        <f>IF(AND($B11&gt;0),(H11-$B11)/$B11,0)</f>
        <v>-0.80885780885780889</v>
      </c>
      <c r="I121" s="2">
        <f>IF(AND($B11&gt;0),(I11-$B11)/$B11,0)</f>
        <v>-0.8601398601398601</v>
      </c>
      <c r="J121" s="16"/>
    </row>
    <row r="122" spans="1:10" x14ac:dyDescent="0.25">
      <c r="A122" s="11" t="str">
        <f>A12</f>
        <v xml:space="preserve">2^23 (8388608)    </v>
      </c>
      <c r="B122" s="1">
        <f>0</f>
        <v>0</v>
      </c>
      <c r="C122" s="1">
        <f>IF(AND($B12&gt;0),(C12-$B12)/$B12,0)</f>
        <v>-0.46702127659574466</v>
      </c>
      <c r="D122" s="1">
        <f>IF(AND($B12&gt;0),(D12-$B12)/$B12,0)</f>
        <v>-0.48829787234042554</v>
      </c>
      <c r="E122" s="1">
        <f>IF(AND($B12&gt;0),(E12-$B12)/$B12,0)</f>
        <v>-0.46276595744680848</v>
      </c>
      <c r="F122" s="1">
        <f>IF(AND($B12&gt;0),(F12-$B12)/$B12,0)</f>
        <v>-0.71170212765957441</v>
      </c>
      <c r="G122" s="1">
        <f>IF(AND($B12&gt;0),(G12-$B12)/$B12,0)</f>
        <v>-0.7</v>
      </c>
      <c r="H122" s="1">
        <f>IF(AND($B12&gt;0),(H12-$B12)/$B12,0)</f>
        <v>-0.81382978723404253</v>
      </c>
      <c r="I122" s="2">
        <f>IF(AND($B12&gt;0),(I12-$B12)/$B12,0)</f>
        <v>-0.86276595744680851</v>
      </c>
      <c r="J122" s="16"/>
    </row>
    <row r="123" spans="1:10" x14ac:dyDescent="0.25">
      <c r="A123" s="11" t="str">
        <f>A13</f>
        <v xml:space="preserve">2^24 (16777216)   </v>
      </c>
      <c r="B123" s="1">
        <f>0</f>
        <v>0</v>
      </c>
      <c r="C123" s="1">
        <f>IF(AND($B13&gt;0),(C13-$B13)/$B13,0)</f>
        <v>-0.48222565687789798</v>
      </c>
      <c r="D123" s="1">
        <f>IF(AND($B13&gt;0),(D13-$B13)/$B13,0)</f>
        <v>-0.49613601236476046</v>
      </c>
      <c r="E123" s="1">
        <f>IF(AND($B13&gt;0),(E13-$B13)/$B13,0)</f>
        <v>-0.48531684698608962</v>
      </c>
      <c r="F123" s="1">
        <f>IF(AND($B13&gt;0),(F13-$B13)/$B13,0)</f>
        <v>-0.71148892323544566</v>
      </c>
      <c r="G123" s="1">
        <f>IF(AND($B13&gt;0),(G13-$B13)/$B13,0)</f>
        <v>-0.71303451828954145</v>
      </c>
      <c r="H123" s="1">
        <f>IF(AND($B13&gt;0),(H13-$B13)/$B13,0)</f>
        <v>-0.81813498196805767</v>
      </c>
      <c r="I123" s="2">
        <f>IF(AND($B13&gt;0),(I13-$B13)/$B13,0)</f>
        <v>-0.86141164348274091</v>
      </c>
      <c r="J123" s="16"/>
    </row>
    <row r="124" spans="1:10" x14ac:dyDescent="0.25">
      <c r="A124" s="12" t="str">
        <f>A14</f>
        <v xml:space="preserve">2^25 (33554432)   </v>
      </c>
      <c r="B124" s="3">
        <f>0</f>
        <v>0</v>
      </c>
      <c r="C124" s="3">
        <f>IF(AND($B14&gt;0),(C14-$B14)/$B14,0)</f>
        <v>-0.4729591836734694</v>
      </c>
      <c r="D124" s="3">
        <f>IF(AND($B14&gt;0),(D14-$B14)/$B14,0)</f>
        <v>-0.47525510204081634</v>
      </c>
      <c r="E124" s="3">
        <f>IF(AND($B14&gt;0),(E14-$B14)/$B14,0)</f>
        <v>-0.47423469387755102</v>
      </c>
      <c r="F124" s="3">
        <f>IF(AND($B14&gt;0),(F14-$B14)/$B14,0)</f>
        <v>-0.71071428571428574</v>
      </c>
      <c r="G124" s="3">
        <f>IF(AND($B14&gt;0),(G14-$B14)/$B14,0)</f>
        <v>-0.70204081632653059</v>
      </c>
      <c r="H124" s="3">
        <f>IF(AND($B14&gt;0),(H14-$B14)/$B14,0)</f>
        <v>-0.81632653061224492</v>
      </c>
      <c r="I124" s="4">
        <f>IF(AND($B14&gt;0),(I14-$B14)/$B14,0)</f>
        <v>-0.85765306122448981</v>
      </c>
      <c r="J124" s="16"/>
    </row>
    <row r="125" spans="1:10" x14ac:dyDescent="0.25">
      <c r="A125" s="9" t="s">
        <v>12</v>
      </c>
      <c r="B125" s="3">
        <v>0</v>
      </c>
      <c r="C125" s="18">
        <f>-(2-1)</f>
        <v>-1</v>
      </c>
      <c r="D125" s="18">
        <f>-(3-1)</f>
        <v>-2</v>
      </c>
      <c r="E125" s="18">
        <f>-(4-1)</f>
        <v>-3</v>
      </c>
      <c r="F125" s="18">
        <f>-(6-1)</f>
        <v>-5</v>
      </c>
      <c r="G125" s="18">
        <f>-(8-1)</f>
        <v>-7</v>
      </c>
      <c r="H125" s="18">
        <f>-(16-1)</f>
        <v>-15</v>
      </c>
      <c r="I125" s="19">
        <f>-(32-1)</f>
        <v>-31</v>
      </c>
      <c r="J125" s="15"/>
    </row>
  </sheetData>
  <mergeCells count="1">
    <mergeCell ref="A1:I1"/>
  </mergeCells>
  <pageMargins left="0.7" right="0.7" top="0.75" bottom="0.75" header="0.3" footer="0.3"/>
  <pageSetup orientation="portrait" horizontalDpi="1200" verticalDpi="12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alius</dc:creator>
  <cp:lastModifiedBy>alius</cp:lastModifiedBy>
  <dcterms:created xsi:type="dcterms:W3CDTF">2025-11-06T19:49:20Z</dcterms:created>
  <dcterms:modified xsi:type="dcterms:W3CDTF">2025-11-07T15:44:21Z</dcterms:modified>
</cp:coreProperties>
</file>