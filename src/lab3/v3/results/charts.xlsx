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$\Ubuntu\data\www_me\vu_java\parallel\src\lab3\v3\results\"/>
    </mc:Choice>
  </mc:AlternateContent>
  <xr:revisionPtr revIDLastSave="0" documentId="13_ncr:1_{6DAF05FD-0604-45ED-BEF6-D6B5BA2430FA}" xr6:coauthVersionLast="47" xr6:coauthVersionMax="47" xr10:uidLastSave="{00000000-0000-0000-0000-000000000000}"/>
  <bookViews>
    <workbookView xWindow="25275" yWindow="3285" windowWidth="26460" windowHeight="15435" xr2:uid="{3B0F670E-E01A-4267-849E-8CF26EF91A7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3" i="1" l="1"/>
  <c r="E63" i="1"/>
  <c r="F63" i="1"/>
  <c r="G63" i="1"/>
  <c r="H63" i="1"/>
  <c r="I63" i="1"/>
  <c r="D64" i="1"/>
  <c r="E64" i="1"/>
  <c r="F64" i="1"/>
  <c r="G64" i="1"/>
  <c r="H64" i="1"/>
  <c r="I64" i="1"/>
  <c r="D65" i="1"/>
  <c r="E65" i="1"/>
  <c r="F65" i="1"/>
  <c r="G65" i="1"/>
  <c r="H65" i="1"/>
  <c r="I65" i="1"/>
  <c r="D66" i="1"/>
  <c r="E66" i="1"/>
  <c r="F66" i="1"/>
  <c r="G66" i="1"/>
  <c r="H66" i="1"/>
  <c r="I66" i="1"/>
  <c r="D67" i="1"/>
  <c r="E67" i="1"/>
  <c r="F67" i="1"/>
  <c r="G67" i="1"/>
  <c r="H67" i="1"/>
  <c r="I67" i="1"/>
  <c r="D68" i="1"/>
  <c r="E68" i="1"/>
  <c r="F68" i="1"/>
  <c r="G68" i="1"/>
  <c r="H68" i="1"/>
  <c r="I68" i="1"/>
  <c r="D69" i="1"/>
  <c r="E69" i="1"/>
  <c r="F69" i="1"/>
  <c r="G69" i="1"/>
  <c r="H69" i="1"/>
  <c r="I69" i="1"/>
  <c r="D70" i="1"/>
  <c r="E70" i="1"/>
  <c r="F70" i="1"/>
  <c r="G70" i="1"/>
  <c r="H70" i="1"/>
  <c r="I70" i="1"/>
  <c r="D71" i="1"/>
  <c r="E71" i="1"/>
  <c r="F71" i="1"/>
  <c r="G71" i="1"/>
  <c r="H71" i="1"/>
  <c r="I71" i="1"/>
  <c r="D72" i="1"/>
  <c r="E72" i="1"/>
  <c r="F72" i="1"/>
  <c r="G72" i="1"/>
  <c r="H72" i="1"/>
  <c r="I72" i="1"/>
  <c r="D73" i="1"/>
  <c r="E73" i="1"/>
  <c r="F73" i="1"/>
  <c r="G73" i="1"/>
  <c r="H73" i="1"/>
  <c r="I73" i="1"/>
  <c r="D74" i="1"/>
  <c r="E74" i="1"/>
  <c r="F74" i="1"/>
  <c r="G74" i="1"/>
  <c r="H74" i="1"/>
  <c r="I74" i="1"/>
  <c r="C64" i="1"/>
  <c r="C65" i="1"/>
  <c r="C66" i="1"/>
  <c r="C67" i="1"/>
  <c r="C68" i="1"/>
  <c r="C69" i="1"/>
  <c r="C70" i="1"/>
  <c r="C71" i="1"/>
  <c r="C72" i="1"/>
  <c r="C73" i="1"/>
  <c r="C74" i="1"/>
  <c r="C63" i="1"/>
  <c r="B64" i="1"/>
  <c r="B65" i="1"/>
  <c r="B66" i="1"/>
  <c r="B67" i="1"/>
  <c r="B68" i="1"/>
  <c r="B69" i="1"/>
  <c r="B70" i="1"/>
  <c r="B71" i="1"/>
  <c r="B72" i="1"/>
  <c r="B73" i="1"/>
  <c r="B74" i="1"/>
  <c r="B63" i="1"/>
  <c r="A64" i="1"/>
  <c r="A65" i="1"/>
  <c r="A66" i="1"/>
  <c r="A67" i="1"/>
  <c r="A68" i="1"/>
  <c r="A69" i="1"/>
  <c r="A70" i="1"/>
  <c r="A71" i="1"/>
  <c r="A72" i="1"/>
  <c r="A73" i="1"/>
  <c r="A74" i="1"/>
  <c r="A63" i="1"/>
  <c r="A62" i="1"/>
</calcChain>
</file>

<file path=xl/sharedStrings.xml><?xml version="1.0" encoding="utf-8"?>
<sst xmlns="http://schemas.openxmlformats.org/spreadsheetml/2006/main" count="31" uniqueCount="24">
  <si>
    <t xml:space="preserve"> Masyvo dydis      </t>
  </si>
  <si>
    <t xml:space="preserve"> 2^14 (16384)      </t>
  </si>
  <si>
    <t xml:space="preserve"> 2^15 (32768)      </t>
  </si>
  <si>
    <t xml:space="preserve"> 2^16 (65536)      </t>
  </si>
  <si>
    <t xml:space="preserve"> 2^17 (131072)     </t>
  </si>
  <si>
    <t xml:space="preserve"> 2^18 (262144)     </t>
  </si>
  <si>
    <t xml:space="preserve"> 2^19 (524288)     </t>
  </si>
  <si>
    <t xml:space="preserve"> 2^20 (1048576)    </t>
  </si>
  <si>
    <t xml:space="preserve"> 2^21 (2097152)    </t>
  </si>
  <si>
    <t xml:space="preserve"> 2^22 (4194304)    </t>
  </si>
  <si>
    <t xml:space="preserve"> 2^23 (8388608)    </t>
  </si>
  <si>
    <t xml:space="preserve"> 2^24 (16777216)   </t>
  </si>
  <si>
    <t xml:space="preserve"> 2^25 (33554432)   </t>
  </si>
  <si>
    <t>1 gija</t>
  </si>
  <si>
    <t>2 gijos</t>
  </si>
  <si>
    <t>3 gijos</t>
  </si>
  <si>
    <t>4 gijos</t>
  </si>
  <si>
    <t>6 gijos</t>
  </si>
  <si>
    <t>8 gijos</t>
  </si>
  <si>
    <t>16 gijos</t>
  </si>
  <si>
    <t>32 gijos</t>
  </si>
  <si>
    <t>Greitis (ms)</t>
  </si>
  <si>
    <t>16 gijų</t>
  </si>
  <si>
    <t>Pokytis nuo 1 gijos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</si>
</sst>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86"/>
      <scheme val="minor"/>
    </font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9" fontId="0" fillId="0" borderId="0" xfId="1" applyFont="1" applyBorder="1"/>
    <xf numFmtId="9" fontId="0" fillId="0" borderId="2" xfId="1" applyFont="1" applyBorder="1"/>
    <xf numFmtId="9" fontId="0" fillId="0" borderId="3" xfId="1" applyFont="1" applyBorder="1"/>
    <xf numFmtId="9" fontId="0" fillId="0" borderId="4" xfId="1" applyFont="1" applyBorder="1"/>
    <xf numFmtId="0" fontId="0" fillId="0" borderId="0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tx>
            <c:strRef>
              <c:f>Sheet1!$A$3</c:f>
              <c:strCache>
                <c:ptCount val="1"/>
                <c:pt idx="0">
                  <c:v> 2^14 (16384)     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t-L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Sheet1!$B$2:$I$2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gijų</c:v>
                </c:pt>
                <c:pt idx="7">
                  <c:v>32 gijos</c:v>
                </c:pt>
              </c:strCache>
            </c:strRef>
          </c:cat>
          <c:val>
            <c:numRef>
              <c:f>Sheet1!$B$3:$I$3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EC-4663-B099-B7F5A19A241B}"/>
            </c:ext>
          </c:extLst>
        </c:ser>
        <c:ser>
          <c:idx val="1"/>
          <c:order val="1"/>
          <c:tx>
            <c:strRef>
              <c:f>Sheet1!$A$4</c:f>
              <c:strCache>
                <c:ptCount val="1"/>
                <c:pt idx="0">
                  <c:v> 2^15 (32768)     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t-L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Sheet1!$B$2:$I$2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gijų</c:v>
                </c:pt>
                <c:pt idx="7">
                  <c:v>32 gijos</c:v>
                </c:pt>
              </c:strCache>
            </c:strRef>
          </c:cat>
          <c:val>
            <c:numRef>
              <c:f>Sheet1!$B$4:$I$4</c:f>
              <c:numCache>
                <c:formatCode>General</c:formatCode>
                <c:ptCount val="8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EC-4663-B099-B7F5A19A241B}"/>
            </c:ext>
          </c:extLst>
        </c:ser>
        <c:ser>
          <c:idx val="2"/>
          <c:order val="2"/>
          <c:tx>
            <c:strRef>
              <c:f>Sheet1!$A$5</c:f>
              <c:strCache>
                <c:ptCount val="1"/>
                <c:pt idx="0">
                  <c:v> 2^16 (65536)     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t-L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Sheet1!$B$2:$I$2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gijų</c:v>
                </c:pt>
                <c:pt idx="7">
                  <c:v>32 gijos</c:v>
                </c:pt>
              </c:strCache>
            </c:strRef>
          </c:cat>
          <c:val>
            <c:numRef>
              <c:f>Sheet1!$B$5:$I$5</c:f>
              <c:numCache>
                <c:formatCode>General</c:formatCode>
                <c:ptCount val="8"/>
                <c:pt idx="0">
                  <c:v>5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CEC-4663-B099-B7F5A19A241B}"/>
            </c:ext>
          </c:extLst>
        </c:ser>
        <c:ser>
          <c:idx val="3"/>
          <c:order val="3"/>
          <c:tx>
            <c:strRef>
              <c:f>Sheet1!$A$6</c:f>
              <c:strCache>
                <c:ptCount val="1"/>
                <c:pt idx="0">
                  <c:v> 2^17 (131072)    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t-L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Sheet1!$B$2:$I$2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gijų</c:v>
                </c:pt>
                <c:pt idx="7">
                  <c:v>32 gijos</c:v>
                </c:pt>
              </c:strCache>
            </c:strRef>
          </c:cat>
          <c:val>
            <c:numRef>
              <c:f>Sheet1!$B$6:$I$6</c:f>
              <c:numCache>
                <c:formatCode>General</c:formatCode>
                <c:ptCount val="8"/>
                <c:pt idx="0">
                  <c:v>12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CEC-4663-B099-B7F5A19A241B}"/>
            </c:ext>
          </c:extLst>
        </c:ser>
        <c:ser>
          <c:idx val="4"/>
          <c:order val="4"/>
          <c:tx>
            <c:strRef>
              <c:f>Sheet1!$A$7</c:f>
              <c:strCache>
                <c:ptCount val="1"/>
                <c:pt idx="0">
                  <c:v> 2^18 (262144)    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t-L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Sheet1!$B$2:$I$2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gijų</c:v>
                </c:pt>
                <c:pt idx="7">
                  <c:v>32 gijos</c:v>
                </c:pt>
              </c:strCache>
            </c:strRef>
          </c:cat>
          <c:val>
            <c:numRef>
              <c:f>Sheet1!$B$7:$I$7</c:f>
              <c:numCache>
                <c:formatCode>General</c:formatCode>
                <c:ptCount val="8"/>
                <c:pt idx="0">
                  <c:v>23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8</c:v>
                </c:pt>
                <c:pt idx="5">
                  <c:v>8</c:v>
                </c:pt>
                <c:pt idx="6">
                  <c:v>7</c:v>
                </c:pt>
                <c:pt idx="7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CEC-4663-B099-B7F5A19A241B}"/>
            </c:ext>
          </c:extLst>
        </c:ser>
        <c:ser>
          <c:idx val="5"/>
          <c:order val="5"/>
          <c:tx>
            <c:strRef>
              <c:f>Sheet1!$A$8</c:f>
              <c:strCache>
                <c:ptCount val="1"/>
                <c:pt idx="0">
                  <c:v> 2^19 (524288)    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t-L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Sheet1!$B$2:$I$2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gijų</c:v>
                </c:pt>
                <c:pt idx="7">
                  <c:v>32 gijos</c:v>
                </c:pt>
              </c:strCache>
            </c:strRef>
          </c:cat>
          <c:val>
            <c:numRef>
              <c:f>Sheet1!$B$8:$I$8</c:f>
              <c:numCache>
                <c:formatCode>General</c:formatCode>
                <c:ptCount val="8"/>
                <c:pt idx="0">
                  <c:v>54</c:v>
                </c:pt>
                <c:pt idx="1">
                  <c:v>30</c:v>
                </c:pt>
                <c:pt idx="2">
                  <c:v>26</c:v>
                </c:pt>
                <c:pt idx="3">
                  <c:v>29</c:v>
                </c:pt>
                <c:pt idx="4">
                  <c:v>16</c:v>
                </c:pt>
                <c:pt idx="5">
                  <c:v>15</c:v>
                </c:pt>
                <c:pt idx="6">
                  <c:v>12</c:v>
                </c:pt>
                <c:pt idx="7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CEC-4663-B099-B7F5A19A241B}"/>
            </c:ext>
          </c:extLst>
        </c:ser>
        <c:ser>
          <c:idx val="6"/>
          <c:order val="6"/>
          <c:tx>
            <c:strRef>
              <c:f>Sheet1!$A$9</c:f>
              <c:strCache>
                <c:ptCount val="1"/>
                <c:pt idx="0">
                  <c:v> 2^20 (1048576)   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t-L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Sheet1!$B$2:$I$2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gijų</c:v>
                </c:pt>
                <c:pt idx="7">
                  <c:v>32 gijos</c:v>
                </c:pt>
              </c:strCache>
            </c:strRef>
          </c:cat>
          <c:val>
            <c:numRef>
              <c:f>Sheet1!$B$9:$I$9</c:f>
              <c:numCache>
                <c:formatCode>General</c:formatCode>
                <c:ptCount val="8"/>
                <c:pt idx="0">
                  <c:v>112</c:v>
                </c:pt>
                <c:pt idx="1">
                  <c:v>58</c:v>
                </c:pt>
                <c:pt idx="2">
                  <c:v>53</c:v>
                </c:pt>
                <c:pt idx="3">
                  <c:v>58</c:v>
                </c:pt>
                <c:pt idx="4">
                  <c:v>33</c:v>
                </c:pt>
                <c:pt idx="5">
                  <c:v>34</c:v>
                </c:pt>
                <c:pt idx="6">
                  <c:v>23</c:v>
                </c:pt>
                <c:pt idx="7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CEC-4663-B099-B7F5A19A241B}"/>
            </c:ext>
          </c:extLst>
        </c:ser>
        <c:ser>
          <c:idx val="7"/>
          <c:order val="7"/>
          <c:tx>
            <c:strRef>
              <c:f>Sheet1!$A$10</c:f>
              <c:strCache>
                <c:ptCount val="1"/>
                <c:pt idx="0">
                  <c:v> 2^21 (2097152)   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t-L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Sheet1!$B$2:$I$2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gijų</c:v>
                </c:pt>
                <c:pt idx="7">
                  <c:v>32 gijos</c:v>
                </c:pt>
              </c:strCache>
            </c:strRef>
          </c:cat>
          <c:val>
            <c:numRef>
              <c:f>Sheet1!$B$10:$I$10</c:f>
              <c:numCache>
                <c:formatCode>General</c:formatCode>
                <c:ptCount val="8"/>
                <c:pt idx="0">
                  <c:v>205</c:v>
                </c:pt>
                <c:pt idx="1">
                  <c:v>111</c:v>
                </c:pt>
                <c:pt idx="2">
                  <c:v>118</c:v>
                </c:pt>
                <c:pt idx="3">
                  <c:v>110</c:v>
                </c:pt>
                <c:pt idx="4">
                  <c:v>68</c:v>
                </c:pt>
                <c:pt idx="5">
                  <c:v>63</c:v>
                </c:pt>
                <c:pt idx="6">
                  <c:v>42</c:v>
                </c:pt>
                <c:pt idx="7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CEC-4663-B099-B7F5A19A241B}"/>
            </c:ext>
          </c:extLst>
        </c:ser>
        <c:ser>
          <c:idx val="8"/>
          <c:order val="8"/>
          <c:tx>
            <c:strRef>
              <c:f>Sheet1!$A$11</c:f>
              <c:strCache>
                <c:ptCount val="1"/>
                <c:pt idx="0">
                  <c:v> 2^22 (4194304)   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t-L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Sheet1!$B$2:$I$2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gijų</c:v>
                </c:pt>
                <c:pt idx="7">
                  <c:v>32 gijos</c:v>
                </c:pt>
              </c:strCache>
            </c:strRef>
          </c:cat>
          <c:val>
            <c:numRef>
              <c:f>Sheet1!$B$11:$I$11</c:f>
              <c:numCache>
                <c:formatCode>General</c:formatCode>
                <c:ptCount val="8"/>
                <c:pt idx="0">
                  <c:v>429</c:v>
                </c:pt>
                <c:pt idx="1">
                  <c:v>218</c:v>
                </c:pt>
                <c:pt idx="2">
                  <c:v>233</c:v>
                </c:pt>
                <c:pt idx="3">
                  <c:v>220</c:v>
                </c:pt>
                <c:pt idx="4">
                  <c:v>138</c:v>
                </c:pt>
                <c:pt idx="5">
                  <c:v>130</c:v>
                </c:pt>
                <c:pt idx="6">
                  <c:v>82</c:v>
                </c:pt>
                <c:pt idx="7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CEC-4663-B099-B7F5A19A241B}"/>
            </c:ext>
          </c:extLst>
        </c:ser>
        <c:ser>
          <c:idx val="9"/>
          <c:order val="9"/>
          <c:tx>
            <c:strRef>
              <c:f>Sheet1!$A$12</c:f>
              <c:strCache>
                <c:ptCount val="1"/>
                <c:pt idx="0">
                  <c:v> 2^23 (8388608)   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t-L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Sheet1!$B$2:$I$2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gijų</c:v>
                </c:pt>
                <c:pt idx="7">
                  <c:v>32 gijos</c:v>
                </c:pt>
              </c:strCache>
            </c:strRef>
          </c:cat>
          <c:val>
            <c:numRef>
              <c:f>Sheet1!$B$12:$I$12</c:f>
              <c:numCache>
                <c:formatCode>General</c:formatCode>
                <c:ptCount val="8"/>
                <c:pt idx="0">
                  <c:v>940</c:v>
                </c:pt>
                <c:pt idx="1">
                  <c:v>501</c:v>
                </c:pt>
                <c:pt idx="2">
                  <c:v>481</c:v>
                </c:pt>
                <c:pt idx="3">
                  <c:v>505</c:v>
                </c:pt>
                <c:pt idx="4">
                  <c:v>271</c:v>
                </c:pt>
                <c:pt idx="5">
                  <c:v>282</c:v>
                </c:pt>
                <c:pt idx="6">
                  <c:v>175</c:v>
                </c:pt>
                <c:pt idx="7">
                  <c:v>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CEC-4663-B099-B7F5A19A241B}"/>
            </c:ext>
          </c:extLst>
        </c:ser>
        <c:ser>
          <c:idx val="10"/>
          <c:order val="10"/>
          <c:tx>
            <c:strRef>
              <c:f>Sheet1!$A$13</c:f>
              <c:strCache>
                <c:ptCount val="1"/>
                <c:pt idx="0">
                  <c:v> 2^24 (16777216)  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t-L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Sheet1!$B$2:$I$2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gijų</c:v>
                </c:pt>
                <c:pt idx="7">
                  <c:v>32 gijos</c:v>
                </c:pt>
              </c:strCache>
            </c:strRef>
          </c:cat>
          <c:val>
            <c:numRef>
              <c:f>Sheet1!$B$13:$I$13</c:f>
              <c:numCache>
                <c:formatCode>General</c:formatCode>
                <c:ptCount val="8"/>
                <c:pt idx="0">
                  <c:v>1941</c:v>
                </c:pt>
                <c:pt idx="1">
                  <c:v>1005</c:v>
                </c:pt>
                <c:pt idx="2">
                  <c:v>978</c:v>
                </c:pt>
                <c:pt idx="3">
                  <c:v>999</c:v>
                </c:pt>
                <c:pt idx="4">
                  <c:v>560</c:v>
                </c:pt>
                <c:pt idx="5">
                  <c:v>557</c:v>
                </c:pt>
                <c:pt idx="6">
                  <c:v>353</c:v>
                </c:pt>
                <c:pt idx="7">
                  <c:v>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CEC-4663-B099-B7F5A19A241B}"/>
            </c:ext>
          </c:extLst>
        </c:ser>
        <c:ser>
          <c:idx val="11"/>
          <c:order val="11"/>
          <c:tx>
            <c:strRef>
              <c:f>Sheet1!$A$14</c:f>
              <c:strCache>
                <c:ptCount val="1"/>
                <c:pt idx="0">
                  <c:v> 2^25 (33554432)  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t-L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Sheet1!$B$2:$I$2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gijų</c:v>
                </c:pt>
                <c:pt idx="7">
                  <c:v>32 gijos</c:v>
                </c:pt>
              </c:strCache>
            </c:strRef>
          </c:cat>
          <c:val>
            <c:numRef>
              <c:f>Sheet1!$B$14:$I$14</c:f>
              <c:numCache>
                <c:formatCode>General</c:formatCode>
                <c:ptCount val="8"/>
                <c:pt idx="0">
                  <c:v>3920</c:v>
                </c:pt>
                <c:pt idx="1">
                  <c:v>2066</c:v>
                </c:pt>
                <c:pt idx="2">
                  <c:v>2057</c:v>
                </c:pt>
                <c:pt idx="3">
                  <c:v>2061</c:v>
                </c:pt>
                <c:pt idx="4">
                  <c:v>1134</c:v>
                </c:pt>
                <c:pt idx="5">
                  <c:v>1168</c:v>
                </c:pt>
                <c:pt idx="6">
                  <c:v>720</c:v>
                </c:pt>
                <c:pt idx="7">
                  <c:v>558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CEC-4663-B099-B7F5A19A241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273012367"/>
        <c:axId val="1273012783"/>
      </c:lineChart>
      <c:catAx>
        <c:axId val="1273012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t-L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1273012783"/>
        <c:crosses val="autoZero"/>
        <c:auto val="1"/>
        <c:lblAlgn val="ctr"/>
        <c:lblOffset val="100"/>
        <c:noMultiLvlLbl val="0"/>
      </c:catAx>
      <c:valAx>
        <c:axId val="1273012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ms</a:t>
                </a:r>
                <a:endParaRPr lang="lt-L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t-L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1273012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t-LT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t-L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Pokytis nuo 1 gijos</a:t>
            </a:r>
            <a:r>
              <a:rPr lang="lt-LT"/>
              <a:t> (mažiau yra geriau)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t-L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Sheet1!$A$63</c:f>
              <c:strCache>
                <c:ptCount val="1"/>
                <c:pt idx="0">
                  <c:v> 2^14 (16384)     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Sheet1!$B$62:$I$62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gijos</c:v>
                </c:pt>
                <c:pt idx="7">
                  <c:v>32 gijos</c:v>
                </c:pt>
              </c:strCache>
            </c:strRef>
          </c:cat>
          <c:val>
            <c:numRef>
              <c:f>Sheet1!$B$63:$I$63</c:f>
              <c:numCache>
                <c:formatCode>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-1</c:v>
                </c:pt>
                <c:pt idx="3">
                  <c:v>-1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799-8600-847E4F0127D1}"/>
            </c:ext>
          </c:extLst>
        </c:ser>
        <c:ser>
          <c:idx val="1"/>
          <c:order val="1"/>
          <c:tx>
            <c:strRef>
              <c:f>Sheet1!$A$64</c:f>
              <c:strCache>
                <c:ptCount val="1"/>
                <c:pt idx="0">
                  <c:v> 2^15 (32768)     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Sheet1!$B$62:$I$62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gijos</c:v>
                </c:pt>
                <c:pt idx="7">
                  <c:v>32 gijos</c:v>
                </c:pt>
              </c:strCache>
            </c:strRef>
          </c:cat>
          <c:val>
            <c:numRef>
              <c:f>Sheet1!$B$64:$I$64</c:f>
              <c:numCache>
                <c:formatCode>0%</c:formatCode>
                <c:ptCount val="8"/>
                <c:pt idx="0">
                  <c:v>0</c:v>
                </c:pt>
                <c:pt idx="1">
                  <c:v>-0.5</c:v>
                </c:pt>
                <c:pt idx="2">
                  <c:v>-0.5</c:v>
                </c:pt>
                <c:pt idx="3">
                  <c:v>-0.5</c:v>
                </c:pt>
                <c:pt idx="4">
                  <c:v>-0.5</c:v>
                </c:pt>
                <c:pt idx="5">
                  <c:v>-0.5</c:v>
                </c:pt>
                <c:pt idx="6">
                  <c:v>0</c:v>
                </c:pt>
                <c:pt idx="7">
                  <c:v>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799-8600-847E4F0127D1}"/>
            </c:ext>
          </c:extLst>
        </c:ser>
        <c:ser>
          <c:idx val="2"/>
          <c:order val="2"/>
          <c:tx>
            <c:strRef>
              <c:f>Sheet1!$A$65</c:f>
              <c:strCache>
                <c:ptCount val="1"/>
                <c:pt idx="0">
                  <c:v> 2^16 (65536)     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Sheet1!$B$62:$I$62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gijos</c:v>
                </c:pt>
                <c:pt idx="7">
                  <c:v>32 gijos</c:v>
                </c:pt>
              </c:strCache>
            </c:strRef>
          </c:cat>
          <c:val>
            <c:numRef>
              <c:f>Sheet1!$B$65:$I$65</c:f>
              <c:numCache>
                <c:formatCode>0%</c:formatCode>
                <c:ptCount val="8"/>
                <c:pt idx="0">
                  <c:v>0</c:v>
                </c:pt>
                <c:pt idx="1">
                  <c:v>-0.4</c:v>
                </c:pt>
                <c:pt idx="2">
                  <c:v>-0.4</c:v>
                </c:pt>
                <c:pt idx="3">
                  <c:v>-0.4</c:v>
                </c:pt>
                <c:pt idx="4">
                  <c:v>-0.6</c:v>
                </c:pt>
                <c:pt idx="5">
                  <c:v>-0.6</c:v>
                </c:pt>
                <c:pt idx="6">
                  <c:v>-0.4</c:v>
                </c:pt>
                <c:pt idx="7">
                  <c:v>-0.4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92-4799-8600-847E4F0127D1}"/>
            </c:ext>
          </c:extLst>
        </c:ser>
        <c:ser>
          <c:idx val="3"/>
          <c:order val="3"/>
          <c:tx>
            <c:strRef>
              <c:f>Sheet1!$A$66</c:f>
              <c:strCache>
                <c:ptCount val="1"/>
                <c:pt idx="0">
                  <c:v> 2^17 (131072)    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Sheet1!$B$62:$I$62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gijos</c:v>
                </c:pt>
                <c:pt idx="7">
                  <c:v>32 gijos</c:v>
                </c:pt>
              </c:strCache>
            </c:strRef>
          </c:cat>
          <c:val>
            <c:numRef>
              <c:f>Sheet1!$B$66:$I$66</c:f>
              <c:numCache>
                <c:formatCode>0%</c:formatCode>
                <c:ptCount val="8"/>
                <c:pt idx="0">
                  <c:v>0</c:v>
                </c:pt>
                <c:pt idx="1">
                  <c:v>-0.5</c:v>
                </c:pt>
                <c:pt idx="2">
                  <c:v>-0.5</c:v>
                </c:pt>
                <c:pt idx="3">
                  <c:v>-0.5</c:v>
                </c:pt>
                <c:pt idx="4">
                  <c:v>-0.66666666666666663</c:v>
                </c:pt>
                <c:pt idx="5">
                  <c:v>-0.66666666666666663</c:v>
                </c:pt>
                <c:pt idx="6">
                  <c:v>-0.66666666666666663</c:v>
                </c:pt>
                <c:pt idx="7">
                  <c:v>-0.5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92-4799-8600-847E4F0127D1}"/>
            </c:ext>
          </c:extLst>
        </c:ser>
        <c:ser>
          <c:idx val="4"/>
          <c:order val="4"/>
          <c:tx>
            <c:strRef>
              <c:f>Sheet1!$A$67</c:f>
              <c:strCache>
                <c:ptCount val="1"/>
                <c:pt idx="0">
                  <c:v> 2^18 (262144)    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Sheet1!$B$62:$I$62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gijos</c:v>
                </c:pt>
                <c:pt idx="7">
                  <c:v>32 gijos</c:v>
                </c:pt>
              </c:strCache>
            </c:strRef>
          </c:cat>
          <c:val>
            <c:numRef>
              <c:f>Sheet1!$B$67:$I$67</c:f>
              <c:numCache>
                <c:formatCode>0%</c:formatCode>
                <c:ptCount val="8"/>
                <c:pt idx="0">
                  <c:v>0</c:v>
                </c:pt>
                <c:pt idx="1">
                  <c:v>-0.47826086956521741</c:v>
                </c:pt>
                <c:pt idx="2">
                  <c:v>-0.47826086956521741</c:v>
                </c:pt>
                <c:pt idx="3">
                  <c:v>-0.47826086956521741</c:v>
                </c:pt>
                <c:pt idx="4">
                  <c:v>-0.65217391304347827</c:v>
                </c:pt>
                <c:pt idx="5">
                  <c:v>-0.65217391304347827</c:v>
                </c:pt>
                <c:pt idx="6">
                  <c:v>-0.69565217391304346</c:v>
                </c:pt>
                <c:pt idx="7">
                  <c:v>-0.65217391304347827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092-4799-8600-847E4F0127D1}"/>
            </c:ext>
          </c:extLst>
        </c:ser>
        <c:ser>
          <c:idx val="5"/>
          <c:order val="5"/>
          <c:tx>
            <c:strRef>
              <c:f>Sheet1!$A$68</c:f>
              <c:strCache>
                <c:ptCount val="1"/>
                <c:pt idx="0">
                  <c:v> 2^19 (524288)    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Sheet1!$B$62:$I$62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gijos</c:v>
                </c:pt>
                <c:pt idx="7">
                  <c:v>32 gijos</c:v>
                </c:pt>
              </c:strCache>
            </c:strRef>
          </c:cat>
          <c:val>
            <c:numRef>
              <c:f>Sheet1!$B$68:$I$68</c:f>
              <c:numCache>
                <c:formatCode>0%</c:formatCode>
                <c:ptCount val="8"/>
                <c:pt idx="0">
                  <c:v>0</c:v>
                </c:pt>
                <c:pt idx="1">
                  <c:v>-0.44444444444444442</c:v>
                </c:pt>
                <c:pt idx="2">
                  <c:v>-0.51851851851851849</c:v>
                </c:pt>
                <c:pt idx="3">
                  <c:v>-0.46296296296296297</c:v>
                </c:pt>
                <c:pt idx="4">
                  <c:v>-0.70370370370370372</c:v>
                </c:pt>
                <c:pt idx="5">
                  <c:v>-0.72222222222222221</c:v>
                </c:pt>
                <c:pt idx="6">
                  <c:v>-0.77777777777777779</c:v>
                </c:pt>
                <c:pt idx="7">
                  <c:v>-0.77777777777777779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092-4799-8600-847E4F0127D1}"/>
            </c:ext>
          </c:extLst>
        </c:ser>
        <c:ser>
          <c:idx val="6"/>
          <c:order val="6"/>
          <c:tx>
            <c:strRef>
              <c:f>Sheet1!$A$69</c:f>
              <c:strCache>
                <c:ptCount val="1"/>
                <c:pt idx="0">
                  <c:v> 2^20 (1048576)   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Sheet1!$B$62:$I$62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gijos</c:v>
                </c:pt>
                <c:pt idx="7">
                  <c:v>32 gijos</c:v>
                </c:pt>
              </c:strCache>
            </c:strRef>
          </c:cat>
          <c:val>
            <c:numRef>
              <c:f>Sheet1!$B$69:$I$69</c:f>
              <c:numCache>
                <c:formatCode>0%</c:formatCode>
                <c:ptCount val="8"/>
                <c:pt idx="0">
                  <c:v>0</c:v>
                </c:pt>
                <c:pt idx="1">
                  <c:v>-0.48214285714285715</c:v>
                </c:pt>
                <c:pt idx="2">
                  <c:v>-0.5267857142857143</c:v>
                </c:pt>
                <c:pt idx="3">
                  <c:v>-0.48214285714285715</c:v>
                </c:pt>
                <c:pt idx="4">
                  <c:v>-0.7053571428571429</c:v>
                </c:pt>
                <c:pt idx="5">
                  <c:v>-0.6964285714285714</c:v>
                </c:pt>
                <c:pt idx="6">
                  <c:v>-0.7946428571428571</c:v>
                </c:pt>
                <c:pt idx="7">
                  <c:v>-0.8125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092-4799-8600-847E4F0127D1}"/>
            </c:ext>
          </c:extLst>
        </c:ser>
        <c:ser>
          <c:idx val="7"/>
          <c:order val="7"/>
          <c:tx>
            <c:strRef>
              <c:f>Sheet1!$A$70</c:f>
              <c:strCache>
                <c:ptCount val="1"/>
                <c:pt idx="0">
                  <c:v> 2^21 (2097152)   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Sheet1!$B$62:$I$62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gijos</c:v>
                </c:pt>
                <c:pt idx="7">
                  <c:v>32 gijos</c:v>
                </c:pt>
              </c:strCache>
            </c:strRef>
          </c:cat>
          <c:val>
            <c:numRef>
              <c:f>Sheet1!$B$70:$I$70</c:f>
              <c:numCache>
                <c:formatCode>0%</c:formatCode>
                <c:ptCount val="8"/>
                <c:pt idx="0">
                  <c:v>0</c:v>
                </c:pt>
                <c:pt idx="1">
                  <c:v>-0.45853658536585368</c:v>
                </c:pt>
                <c:pt idx="2">
                  <c:v>-0.42439024390243901</c:v>
                </c:pt>
                <c:pt idx="3">
                  <c:v>-0.46341463414634149</c:v>
                </c:pt>
                <c:pt idx="4">
                  <c:v>-0.66829268292682931</c:v>
                </c:pt>
                <c:pt idx="5">
                  <c:v>-0.69268292682926824</c:v>
                </c:pt>
                <c:pt idx="6">
                  <c:v>-0.79512195121951224</c:v>
                </c:pt>
                <c:pt idx="7">
                  <c:v>-0.82926829268292679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092-4799-8600-847E4F0127D1}"/>
            </c:ext>
          </c:extLst>
        </c:ser>
        <c:ser>
          <c:idx val="8"/>
          <c:order val="8"/>
          <c:tx>
            <c:strRef>
              <c:f>Sheet1!$A$71</c:f>
              <c:strCache>
                <c:ptCount val="1"/>
                <c:pt idx="0">
                  <c:v> 2^22 (4194304)   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Sheet1!$B$62:$I$62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gijos</c:v>
                </c:pt>
                <c:pt idx="7">
                  <c:v>32 gijos</c:v>
                </c:pt>
              </c:strCache>
            </c:strRef>
          </c:cat>
          <c:val>
            <c:numRef>
              <c:f>Sheet1!$B$71:$I$71</c:f>
              <c:numCache>
                <c:formatCode>0%</c:formatCode>
                <c:ptCount val="8"/>
                <c:pt idx="0">
                  <c:v>0</c:v>
                </c:pt>
                <c:pt idx="1">
                  <c:v>-0.49184149184149184</c:v>
                </c:pt>
                <c:pt idx="2">
                  <c:v>-0.45687645687645689</c:v>
                </c:pt>
                <c:pt idx="3">
                  <c:v>-0.48717948717948717</c:v>
                </c:pt>
                <c:pt idx="4">
                  <c:v>-0.67832167832167833</c:v>
                </c:pt>
                <c:pt idx="5">
                  <c:v>-0.69696969696969702</c:v>
                </c:pt>
                <c:pt idx="6">
                  <c:v>-0.80885780885780889</c:v>
                </c:pt>
                <c:pt idx="7">
                  <c:v>-0.8601398601398601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5092-4799-8600-847E4F0127D1}"/>
            </c:ext>
          </c:extLst>
        </c:ser>
        <c:ser>
          <c:idx val="9"/>
          <c:order val="9"/>
          <c:tx>
            <c:strRef>
              <c:f>Sheet1!$A$72</c:f>
              <c:strCache>
                <c:ptCount val="1"/>
                <c:pt idx="0">
                  <c:v> 2^23 (8388608)   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Sheet1!$B$62:$I$62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gijos</c:v>
                </c:pt>
                <c:pt idx="7">
                  <c:v>32 gijos</c:v>
                </c:pt>
              </c:strCache>
            </c:strRef>
          </c:cat>
          <c:val>
            <c:numRef>
              <c:f>Sheet1!$B$72:$I$72</c:f>
              <c:numCache>
                <c:formatCode>0%</c:formatCode>
                <c:ptCount val="8"/>
                <c:pt idx="0">
                  <c:v>0</c:v>
                </c:pt>
                <c:pt idx="1">
                  <c:v>-0.46702127659574466</c:v>
                </c:pt>
                <c:pt idx="2">
                  <c:v>-0.48829787234042554</c:v>
                </c:pt>
                <c:pt idx="3">
                  <c:v>-0.46276595744680848</c:v>
                </c:pt>
                <c:pt idx="4">
                  <c:v>-0.71170212765957441</c:v>
                </c:pt>
                <c:pt idx="5">
                  <c:v>-0.7</c:v>
                </c:pt>
                <c:pt idx="6">
                  <c:v>-0.81382978723404253</c:v>
                </c:pt>
                <c:pt idx="7">
                  <c:v>-0.86276595744680851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5092-4799-8600-847E4F0127D1}"/>
            </c:ext>
          </c:extLst>
        </c:ser>
        <c:ser>
          <c:idx val="10"/>
          <c:order val="10"/>
          <c:tx>
            <c:strRef>
              <c:f>Sheet1!$A$73</c:f>
              <c:strCache>
                <c:ptCount val="1"/>
                <c:pt idx="0">
                  <c:v> 2^24 (16777216)  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Sheet1!$B$62:$I$62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gijos</c:v>
                </c:pt>
                <c:pt idx="7">
                  <c:v>32 gijos</c:v>
                </c:pt>
              </c:strCache>
            </c:strRef>
          </c:cat>
          <c:val>
            <c:numRef>
              <c:f>Sheet1!$B$73:$I$73</c:f>
              <c:numCache>
                <c:formatCode>0%</c:formatCode>
                <c:ptCount val="8"/>
                <c:pt idx="0">
                  <c:v>0</c:v>
                </c:pt>
                <c:pt idx="1">
                  <c:v>-0.48222565687789798</c:v>
                </c:pt>
                <c:pt idx="2">
                  <c:v>-0.49613601236476046</c:v>
                </c:pt>
                <c:pt idx="3">
                  <c:v>-0.48531684698608962</c:v>
                </c:pt>
                <c:pt idx="4">
                  <c:v>-0.71148892323544566</c:v>
                </c:pt>
                <c:pt idx="5">
                  <c:v>-0.71303451828954145</c:v>
                </c:pt>
                <c:pt idx="6">
                  <c:v>-0.81813498196805767</c:v>
                </c:pt>
                <c:pt idx="7">
                  <c:v>-0.86141164348274091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5092-4799-8600-847E4F0127D1}"/>
            </c:ext>
          </c:extLst>
        </c:ser>
        <c:ser>
          <c:idx val="11"/>
          <c:order val="11"/>
          <c:tx>
            <c:strRef>
              <c:f>Sheet1!$A$74</c:f>
              <c:strCache>
                <c:ptCount val="1"/>
                <c:pt idx="0">
                  <c:v> 2^25 (33554432)  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Sheet1!$B$62:$I$62</c:f>
              <c:strCache>
                <c:ptCount val="8"/>
                <c:pt idx="0">
                  <c:v>1 gija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6 gijos</c:v>
                </c:pt>
                <c:pt idx="5">
                  <c:v>8 gijos</c:v>
                </c:pt>
                <c:pt idx="6">
                  <c:v>16 gijos</c:v>
                </c:pt>
                <c:pt idx="7">
                  <c:v>32 gijos</c:v>
                </c:pt>
              </c:strCache>
            </c:strRef>
          </c:cat>
          <c:val>
            <c:numRef>
              <c:f>Sheet1!$B$74:$I$74</c:f>
              <c:numCache>
                <c:formatCode>0%</c:formatCode>
                <c:ptCount val="8"/>
                <c:pt idx="0">
                  <c:v>0</c:v>
                </c:pt>
                <c:pt idx="1">
                  <c:v>-0.4729591836734694</c:v>
                </c:pt>
                <c:pt idx="2">
                  <c:v>-0.47525510204081634</c:v>
                </c:pt>
                <c:pt idx="3">
                  <c:v>-0.47423469387755102</c:v>
                </c:pt>
                <c:pt idx="4">
                  <c:v>-0.71071428571428574</c:v>
                </c:pt>
                <c:pt idx="5">
                  <c:v>-0.70204081632653059</c:v>
                </c:pt>
                <c:pt idx="6">
                  <c:v>-0.81632653061224492</c:v>
                </c:pt>
                <c:pt idx="7">
                  <c:v>-0.85765306122448981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5092-4799-8600-847E4F0127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0827663"/>
        <c:axId val="1300838479"/>
      </c:lineChart>
      <c:catAx>
        <c:axId val="1300827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1300838479"/>
        <c:crosses val="autoZero"/>
        <c:auto val="1"/>
        <c:lblAlgn val="ctr"/>
        <c:lblOffset val="100"/>
        <c:noMultiLvlLbl val="0"/>
      </c:catAx>
      <c:valAx>
        <c:axId val="130083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1300827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t-LT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t-L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Pokytis nuo 1 gijos (ma</a:t>
            </a:r>
            <a:r>
              <a:rPr lang="lt-LT"/>
              <a:t>ž</a:t>
            </a:r>
            <a:r>
              <a:rPr lang="en-US"/>
              <a:t>iau yra geriau</a:t>
            </a:r>
            <a:r>
              <a:rPr lang="lt-LT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t-LT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Sheet1!$C$62</c:f>
              <c:strCache>
                <c:ptCount val="1"/>
                <c:pt idx="0">
                  <c:v>2 gijos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Sheet1!$A$63:$A$74</c15:sqref>
                  </c15:fullRef>
                </c:ext>
              </c:extLst>
              <c:f>Sheet1!$A$65:$A$74</c:f>
              <c:strCache>
                <c:ptCount val="10"/>
                <c:pt idx="0">
                  <c:v> 2^16 (65536)      </c:v>
                </c:pt>
                <c:pt idx="1">
                  <c:v> 2^17 (131072)     </c:v>
                </c:pt>
                <c:pt idx="2">
                  <c:v> 2^18 (262144)     </c:v>
                </c:pt>
                <c:pt idx="3">
                  <c:v> 2^19 (524288)     </c:v>
                </c:pt>
                <c:pt idx="4">
                  <c:v> 2^20 (1048576)    </c:v>
                </c:pt>
                <c:pt idx="5">
                  <c:v> 2^21 (2097152)    </c:v>
                </c:pt>
                <c:pt idx="6">
                  <c:v> 2^22 (4194304)    </c:v>
                </c:pt>
                <c:pt idx="7">
                  <c:v> 2^23 (8388608)    </c:v>
                </c:pt>
                <c:pt idx="8">
                  <c:v> 2^24 (16777216)   </c:v>
                </c:pt>
                <c:pt idx="9">
                  <c:v> 2^25 (33554432)  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Sheet1!$C$63:$C$74</c15:sqref>
                  </c15:fullRef>
                </c:ext>
              </c:extLst>
              <c:f>Sheet1!$C$65:$C$74</c:f>
              <c:numCache>
                <c:formatCode>0%</c:formatCode>
                <c:ptCount val="10"/>
                <c:pt idx="0">
                  <c:v>-0.4</c:v>
                </c:pt>
                <c:pt idx="1">
                  <c:v>-0.5</c:v>
                </c:pt>
                <c:pt idx="2">
                  <c:v>-0.47826086956521741</c:v>
                </c:pt>
                <c:pt idx="3">
                  <c:v>-0.44444444444444442</c:v>
                </c:pt>
                <c:pt idx="4">
                  <c:v>-0.48214285714285715</c:v>
                </c:pt>
                <c:pt idx="5">
                  <c:v>-0.45853658536585368</c:v>
                </c:pt>
                <c:pt idx="6">
                  <c:v>-0.49184149184149184</c:v>
                </c:pt>
                <c:pt idx="7">
                  <c:v>-0.46702127659574466</c:v>
                </c:pt>
                <c:pt idx="8">
                  <c:v>-0.48222565687789798</c:v>
                </c:pt>
                <c:pt idx="9">
                  <c:v>-0.4729591836734694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D9-453A-B64D-98DB1BFD6BFF}"/>
            </c:ext>
          </c:extLst>
        </c:ser>
        <c:ser>
          <c:idx val="2"/>
          <c:order val="2"/>
          <c:tx>
            <c:strRef>
              <c:f>Sheet1!$D$62</c:f>
              <c:strCache>
                <c:ptCount val="1"/>
                <c:pt idx="0">
                  <c:v>3 gijos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Sheet1!$A$63:$A$74</c15:sqref>
                  </c15:fullRef>
                </c:ext>
              </c:extLst>
              <c:f>Sheet1!$A$65:$A$74</c:f>
              <c:strCache>
                <c:ptCount val="10"/>
                <c:pt idx="0">
                  <c:v> 2^16 (65536)      </c:v>
                </c:pt>
                <c:pt idx="1">
                  <c:v> 2^17 (131072)     </c:v>
                </c:pt>
                <c:pt idx="2">
                  <c:v> 2^18 (262144)     </c:v>
                </c:pt>
                <c:pt idx="3">
                  <c:v> 2^19 (524288)     </c:v>
                </c:pt>
                <c:pt idx="4">
                  <c:v> 2^20 (1048576)    </c:v>
                </c:pt>
                <c:pt idx="5">
                  <c:v> 2^21 (2097152)    </c:v>
                </c:pt>
                <c:pt idx="6">
                  <c:v> 2^22 (4194304)    </c:v>
                </c:pt>
                <c:pt idx="7">
                  <c:v> 2^23 (8388608)    </c:v>
                </c:pt>
                <c:pt idx="8">
                  <c:v> 2^24 (16777216)   </c:v>
                </c:pt>
                <c:pt idx="9">
                  <c:v> 2^25 (33554432)  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Sheet1!$D$63:$D$74</c15:sqref>
                  </c15:fullRef>
                </c:ext>
              </c:extLst>
              <c:f>Sheet1!$D$65:$D$74</c:f>
              <c:numCache>
                <c:formatCode>0%</c:formatCode>
                <c:ptCount val="10"/>
                <c:pt idx="0">
                  <c:v>-0.4</c:v>
                </c:pt>
                <c:pt idx="1">
                  <c:v>-0.5</c:v>
                </c:pt>
                <c:pt idx="2">
                  <c:v>-0.47826086956521741</c:v>
                </c:pt>
                <c:pt idx="3">
                  <c:v>-0.51851851851851849</c:v>
                </c:pt>
                <c:pt idx="4">
                  <c:v>-0.5267857142857143</c:v>
                </c:pt>
                <c:pt idx="5">
                  <c:v>-0.42439024390243901</c:v>
                </c:pt>
                <c:pt idx="6">
                  <c:v>-0.45687645687645689</c:v>
                </c:pt>
                <c:pt idx="7">
                  <c:v>-0.48829787234042554</c:v>
                </c:pt>
                <c:pt idx="8">
                  <c:v>-0.49613601236476046</c:v>
                </c:pt>
                <c:pt idx="9">
                  <c:v>-0.47525510204081634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FD9-453A-B64D-98DB1BFD6BFF}"/>
            </c:ext>
          </c:extLst>
        </c:ser>
        <c:ser>
          <c:idx val="3"/>
          <c:order val="3"/>
          <c:tx>
            <c:strRef>
              <c:f>Sheet1!$E$62</c:f>
              <c:strCache>
                <c:ptCount val="1"/>
                <c:pt idx="0">
                  <c:v>4 gijos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Sheet1!$A$63:$A$74</c15:sqref>
                  </c15:fullRef>
                </c:ext>
              </c:extLst>
              <c:f>Sheet1!$A$65:$A$74</c:f>
              <c:strCache>
                <c:ptCount val="10"/>
                <c:pt idx="0">
                  <c:v> 2^16 (65536)      </c:v>
                </c:pt>
                <c:pt idx="1">
                  <c:v> 2^17 (131072)     </c:v>
                </c:pt>
                <c:pt idx="2">
                  <c:v> 2^18 (262144)     </c:v>
                </c:pt>
                <c:pt idx="3">
                  <c:v> 2^19 (524288)     </c:v>
                </c:pt>
                <c:pt idx="4">
                  <c:v> 2^20 (1048576)    </c:v>
                </c:pt>
                <c:pt idx="5">
                  <c:v> 2^21 (2097152)    </c:v>
                </c:pt>
                <c:pt idx="6">
                  <c:v> 2^22 (4194304)    </c:v>
                </c:pt>
                <c:pt idx="7">
                  <c:v> 2^23 (8388608)    </c:v>
                </c:pt>
                <c:pt idx="8">
                  <c:v> 2^24 (16777216)   </c:v>
                </c:pt>
                <c:pt idx="9">
                  <c:v> 2^25 (33554432)  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Sheet1!$E$63:$E$74</c15:sqref>
                  </c15:fullRef>
                </c:ext>
              </c:extLst>
              <c:f>Sheet1!$E$65:$E$74</c:f>
              <c:numCache>
                <c:formatCode>0%</c:formatCode>
                <c:ptCount val="10"/>
                <c:pt idx="0">
                  <c:v>-0.4</c:v>
                </c:pt>
                <c:pt idx="1">
                  <c:v>-0.5</c:v>
                </c:pt>
                <c:pt idx="2">
                  <c:v>-0.47826086956521741</c:v>
                </c:pt>
                <c:pt idx="3">
                  <c:v>-0.46296296296296297</c:v>
                </c:pt>
                <c:pt idx="4">
                  <c:v>-0.48214285714285715</c:v>
                </c:pt>
                <c:pt idx="5">
                  <c:v>-0.46341463414634149</c:v>
                </c:pt>
                <c:pt idx="6">
                  <c:v>-0.48717948717948717</c:v>
                </c:pt>
                <c:pt idx="7">
                  <c:v>-0.46276595744680848</c:v>
                </c:pt>
                <c:pt idx="8">
                  <c:v>-0.48531684698608962</c:v>
                </c:pt>
                <c:pt idx="9">
                  <c:v>-0.47423469387755102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D9-453A-B64D-98DB1BFD6BFF}"/>
            </c:ext>
          </c:extLst>
        </c:ser>
        <c:ser>
          <c:idx val="4"/>
          <c:order val="4"/>
          <c:tx>
            <c:strRef>
              <c:f>Sheet1!$F$62</c:f>
              <c:strCache>
                <c:ptCount val="1"/>
                <c:pt idx="0">
                  <c:v>6 gijos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Sheet1!$A$63:$A$74</c15:sqref>
                  </c15:fullRef>
                </c:ext>
              </c:extLst>
              <c:f>Sheet1!$A$65:$A$74</c:f>
              <c:strCache>
                <c:ptCount val="10"/>
                <c:pt idx="0">
                  <c:v> 2^16 (65536)      </c:v>
                </c:pt>
                <c:pt idx="1">
                  <c:v> 2^17 (131072)     </c:v>
                </c:pt>
                <c:pt idx="2">
                  <c:v> 2^18 (262144)     </c:v>
                </c:pt>
                <c:pt idx="3">
                  <c:v> 2^19 (524288)     </c:v>
                </c:pt>
                <c:pt idx="4">
                  <c:v> 2^20 (1048576)    </c:v>
                </c:pt>
                <c:pt idx="5">
                  <c:v> 2^21 (2097152)    </c:v>
                </c:pt>
                <c:pt idx="6">
                  <c:v> 2^22 (4194304)    </c:v>
                </c:pt>
                <c:pt idx="7">
                  <c:v> 2^23 (8388608)    </c:v>
                </c:pt>
                <c:pt idx="8">
                  <c:v> 2^24 (16777216)   </c:v>
                </c:pt>
                <c:pt idx="9">
                  <c:v> 2^25 (33554432)  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Sheet1!$F$63:$F$74</c15:sqref>
                  </c15:fullRef>
                </c:ext>
              </c:extLst>
              <c:f>Sheet1!$F$65:$F$74</c:f>
              <c:numCache>
                <c:formatCode>0%</c:formatCode>
                <c:ptCount val="10"/>
                <c:pt idx="0">
                  <c:v>-0.6</c:v>
                </c:pt>
                <c:pt idx="1">
                  <c:v>-0.66666666666666663</c:v>
                </c:pt>
                <c:pt idx="2">
                  <c:v>-0.65217391304347827</c:v>
                </c:pt>
                <c:pt idx="3">
                  <c:v>-0.70370370370370372</c:v>
                </c:pt>
                <c:pt idx="4">
                  <c:v>-0.7053571428571429</c:v>
                </c:pt>
                <c:pt idx="5">
                  <c:v>-0.66829268292682931</c:v>
                </c:pt>
                <c:pt idx="6">
                  <c:v>-0.67832167832167833</c:v>
                </c:pt>
                <c:pt idx="7">
                  <c:v>-0.71170212765957441</c:v>
                </c:pt>
                <c:pt idx="8">
                  <c:v>-0.71148892323544566</c:v>
                </c:pt>
                <c:pt idx="9">
                  <c:v>-0.71071428571428574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FD9-453A-B64D-98DB1BFD6BFF}"/>
            </c:ext>
          </c:extLst>
        </c:ser>
        <c:ser>
          <c:idx val="5"/>
          <c:order val="5"/>
          <c:tx>
            <c:strRef>
              <c:f>Sheet1!$G$62</c:f>
              <c:strCache>
                <c:ptCount val="1"/>
                <c:pt idx="0">
                  <c:v>8 gijos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Sheet1!$A$63:$A$74</c15:sqref>
                  </c15:fullRef>
                </c:ext>
              </c:extLst>
              <c:f>Sheet1!$A$65:$A$74</c:f>
              <c:strCache>
                <c:ptCount val="10"/>
                <c:pt idx="0">
                  <c:v> 2^16 (65536)      </c:v>
                </c:pt>
                <c:pt idx="1">
                  <c:v> 2^17 (131072)     </c:v>
                </c:pt>
                <c:pt idx="2">
                  <c:v> 2^18 (262144)     </c:v>
                </c:pt>
                <c:pt idx="3">
                  <c:v> 2^19 (524288)     </c:v>
                </c:pt>
                <c:pt idx="4">
                  <c:v> 2^20 (1048576)    </c:v>
                </c:pt>
                <c:pt idx="5">
                  <c:v> 2^21 (2097152)    </c:v>
                </c:pt>
                <c:pt idx="6">
                  <c:v> 2^22 (4194304)    </c:v>
                </c:pt>
                <c:pt idx="7">
                  <c:v> 2^23 (8388608)    </c:v>
                </c:pt>
                <c:pt idx="8">
                  <c:v> 2^24 (16777216)   </c:v>
                </c:pt>
                <c:pt idx="9">
                  <c:v> 2^25 (33554432)  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Sheet1!$G$63:$G$74</c15:sqref>
                  </c15:fullRef>
                </c:ext>
              </c:extLst>
              <c:f>Sheet1!$G$65:$G$74</c:f>
              <c:numCache>
                <c:formatCode>0%</c:formatCode>
                <c:ptCount val="10"/>
                <c:pt idx="0">
                  <c:v>-0.6</c:v>
                </c:pt>
                <c:pt idx="1">
                  <c:v>-0.66666666666666663</c:v>
                </c:pt>
                <c:pt idx="2">
                  <c:v>-0.65217391304347827</c:v>
                </c:pt>
                <c:pt idx="3">
                  <c:v>-0.72222222222222221</c:v>
                </c:pt>
                <c:pt idx="4">
                  <c:v>-0.6964285714285714</c:v>
                </c:pt>
                <c:pt idx="5">
                  <c:v>-0.69268292682926824</c:v>
                </c:pt>
                <c:pt idx="6">
                  <c:v>-0.69696969696969702</c:v>
                </c:pt>
                <c:pt idx="7">
                  <c:v>-0.7</c:v>
                </c:pt>
                <c:pt idx="8">
                  <c:v>-0.71303451828954145</c:v>
                </c:pt>
                <c:pt idx="9">
                  <c:v>-0.70204081632653059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FD9-453A-B64D-98DB1BFD6BFF}"/>
            </c:ext>
          </c:extLst>
        </c:ser>
        <c:ser>
          <c:idx val="6"/>
          <c:order val="6"/>
          <c:tx>
            <c:strRef>
              <c:f>Sheet1!$H$62</c:f>
              <c:strCache>
                <c:ptCount val="1"/>
                <c:pt idx="0">
                  <c:v>16 gijos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Sheet1!$A$63:$A$74</c15:sqref>
                  </c15:fullRef>
                </c:ext>
              </c:extLst>
              <c:f>Sheet1!$A$65:$A$74</c:f>
              <c:strCache>
                <c:ptCount val="10"/>
                <c:pt idx="0">
                  <c:v> 2^16 (65536)      </c:v>
                </c:pt>
                <c:pt idx="1">
                  <c:v> 2^17 (131072)     </c:v>
                </c:pt>
                <c:pt idx="2">
                  <c:v> 2^18 (262144)     </c:v>
                </c:pt>
                <c:pt idx="3">
                  <c:v> 2^19 (524288)     </c:v>
                </c:pt>
                <c:pt idx="4">
                  <c:v> 2^20 (1048576)    </c:v>
                </c:pt>
                <c:pt idx="5">
                  <c:v> 2^21 (2097152)    </c:v>
                </c:pt>
                <c:pt idx="6">
                  <c:v> 2^22 (4194304)    </c:v>
                </c:pt>
                <c:pt idx="7">
                  <c:v> 2^23 (8388608)    </c:v>
                </c:pt>
                <c:pt idx="8">
                  <c:v> 2^24 (16777216)   </c:v>
                </c:pt>
                <c:pt idx="9">
                  <c:v> 2^25 (33554432)  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Sheet1!$H$63:$H$74</c15:sqref>
                  </c15:fullRef>
                </c:ext>
              </c:extLst>
              <c:f>Sheet1!$H$65:$H$74</c:f>
              <c:numCache>
                <c:formatCode>0%</c:formatCode>
                <c:ptCount val="10"/>
                <c:pt idx="0">
                  <c:v>-0.4</c:v>
                </c:pt>
                <c:pt idx="1">
                  <c:v>-0.66666666666666663</c:v>
                </c:pt>
                <c:pt idx="2">
                  <c:v>-0.69565217391304346</c:v>
                </c:pt>
                <c:pt idx="3">
                  <c:v>-0.77777777777777779</c:v>
                </c:pt>
                <c:pt idx="4">
                  <c:v>-0.7946428571428571</c:v>
                </c:pt>
                <c:pt idx="5">
                  <c:v>-0.79512195121951224</c:v>
                </c:pt>
                <c:pt idx="6">
                  <c:v>-0.80885780885780889</c:v>
                </c:pt>
                <c:pt idx="7">
                  <c:v>-0.81382978723404253</c:v>
                </c:pt>
                <c:pt idx="8">
                  <c:v>-0.81813498196805767</c:v>
                </c:pt>
                <c:pt idx="9">
                  <c:v>-0.81632653061224492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FD9-453A-B64D-98DB1BFD6BFF}"/>
            </c:ext>
          </c:extLst>
        </c:ser>
        <c:ser>
          <c:idx val="7"/>
          <c:order val="7"/>
          <c:tx>
            <c:strRef>
              <c:f>Sheet1!$I$62</c:f>
              <c:strCache>
                <c:ptCount val="1"/>
                <c:pt idx="0">
                  <c:v>32 gijos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Sheet1!$A$63:$A$74</c15:sqref>
                  </c15:fullRef>
                </c:ext>
              </c:extLst>
              <c:f>Sheet1!$A$65:$A$74</c:f>
              <c:strCache>
                <c:ptCount val="10"/>
                <c:pt idx="0">
                  <c:v> 2^16 (65536)      </c:v>
                </c:pt>
                <c:pt idx="1">
                  <c:v> 2^17 (131072)     </c:v>
                </c:pt>
                <c:pt idx="2">
                  <c:v> 2^18 (262144)     </c:v>
                </c:pt>
                <c:pt idx="3">
                  <c:v> 2^19 (524288)     </c:v>
                </c:pt>
                <c:pt idx="4">
                  <c:v> 2^20 (1048576)    </c:v>
                </c:pt>
                <c:pt idx="5">
                  <c:v> 2^21 (2097152)    </c:v>
                </c:pt>
                <c:pt idx="6">
                  <c:v> 2^22 (4194304)    </c:v>
                </c:pt>
                <c:pt idx="7">
                  <c:v> 2^23 (8388608)    </c:v>
                </c:pt>
                <c:pt idx="8">
                  <c:v> 2^24 (16777216)   </c:v>
                </c:pt>
                <c:pt idx="9">
                  <c:v> 2^25 (33554432)  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Sheet1!$I$63:$I$74</c15:sqref>
                  </c15:fullRef>
                </c:ext>
              </c:extLst>
              <c:f>Sheet1!$I$65:$I$74</c:f>
              <c:numCache>
                <c:formatCode>0%</c:formatCode>
                <c:ptCount val="10"/>
                <c:pt idx="0">
                  <c:v>-0.4</c:v>
                </c:pt>
                <c:pt idx="1">
                  <c:v>-0.5</c:v>
                </c:pt>
                <c:pt idx="2">
                  <c:v>-0.65217391304347827</c:v>
                </c:pt>
                <c:pt idx="3">
                  <c:v>-0.77777777777777779</c:v>
                </c:pt>
                <c:pt idx="4">
                  <c:v>-0.8125</c:v>
                </c:pt>
                <c:pt idx="5">
                  <c:v>-0.82926829268292679</c:v>
                </c:pt>
                <c:pt idx="6">
                  <c:v>-0.8601398601398601</c:v>
                </c:pt>
                <c:pt idx="7">
                  <c:v>-0.86276595744680851</c:v>
                </c:pt>
                <c:pt idx="8">
                  <c:v>-0.86141164348274091</c:v>
                </c:pt>
                <c:pt idx="9">
                  <c:v>-0.85765306122448981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FD9-453A-B64D-98DB1BFD6B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0827663"/>
        <c:axId val="130083847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Sheet1!$B$62</c15:sqref>
                        </c15:formulaRef>
                      </c:ext>
                    </c:extLst>
                    <c:strCache>
                      <c:ptCount val="1"/>
                      <c:pt idx="0">
                        <c:v>1 gija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Sheet1!$A$63:$A$74</c15:sqref>
                        </c15:fullRef>
                        <c15:formulaRef>
                          <c15:sqref>Sheet1!$A$65:$A$74</c15:sqref>
                        </c15:formulaRef>
                      </c:ext>
                    </c:extLst>
                    <c:strCache>
                      <c:ptCount val="10"/>
                      <c:pt idx="0">
                        <c:v> 2^16 (65536)      </c:v>
                      </c:pt>
                      <c:pt idx="1">
                        <c:v> 2^17 (131072)     </c:v>
                      </c:pt>
                      <c:pt idx="2">
                        <c:v> 2^18 (262144)     </c:v>
                      </c:pt>
                      <c:pt idx="3">
                        <c:v> 2^19 (524288)     </c:v>
                      </c:pt>
                      <c:pt idx="4">
                        <c:v> 2^20 (1048576)    </c:v>
                      </c:pt>
                      <c:pt idx="5">
                        <c:v> 2^21 (2097152)    </c:v>
                      </c:pt>
                      <c:pt idx="6">
                        <c:v> 2^22 (4194304)    </c:v>
                      </c:pt>
                      <c:pt idx="7">
                        <c:v> 2^23 (8388608)    </c:v>
                      </c:pt>
                      <c:pt idx="8">
                        <c:v> 2^24 (16777216)   </c:v>
                      </c:pt>
                      <c:pt idx="9">
                        <c:v> 2^25 (33554432)   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Sheet1!$B$63:$B$74</c15:sqref>
                        </c15:fullRef>
                        <c15:formulaRef>
                          <c15:sqref>Sheet1!$B$65:$B$74</c15:sqref>
                        </c15:formulaRef>
                      </c:ext>
                    </c:extLst>
                    <c:numCache>
                      <c:formatCode>0%</c:formatCode>
                      <c:ptCount val="1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4FD9-453A-B64D-98DB1BFD6BFF}"/>
                  </c:ext>
                </c:extLst>
              </c15:ser>
            </c15:filteredLineSeries>
          </c:ext>
        </c:extLst>
      </c:lineChart>
      <c:catAx>
        <c:axId val="1300827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1300838479"/>
        <c:crosses val="autoZero"/>
        <c:auto val="1"/>
        <c:lblAlgn val="ctr"/>
        <c:lblOffset val="100"/>
        <c:noMultiLvlLbl val="0"/>
      </c:catAx>
      <c:valAx>
        <c:axId val="130083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1300827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t-LT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t-L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257175</xdr:colOff>
      <xdr:row>15</xdr:row>
      <xdr:rowOff>142875</xdr:rowOff>
    </xdr:from>
    <xdr:to>
      <xdr:col>18</xdr:col>
      <xdr:colOff>0</xdr:colOff>
      <xdr:row>57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969876-872C-F786-D49D-BF3A84C5C7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180975</xdr:colOff>
      <xdr:row>76</xdr:row>
      <xdr:rowOff>119062</xdr:rowOff>
    </xdr:from>
    <xdr:to>
      <xdr:col>11</xdr:col>
      <xdr:colOff>47625</xdr:colOff>
      <xdr:row>104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172E143-6B98-27E5-86E1-20C6EBFFE5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219075</xdr:colOff>
      <xdr:row>105</xdr:row>
      <xdr:rowOff>142875</xdr:rowOff>
    </xdr:from>
    <xdr:to>
      <xdr:col>11</xdr:col>
      <xdr:colOff>85725</xdr:colOff>
      <xdr:row>133</xdr:row>
      <xdr:rowOff>138113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C9CEADA-3814-4BFC-8108-CF9D7CB101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CCE9D-6F94-40D3-99CD-016EDD3ED3FF}">
  <dimension ref="A1:I74"/>
  <sheetViews>
    <sheetView tabSelected="1" topLeftCell="A58" workbookViewId="0">
      <selection activeCell="D139" sqref="D139"/>
    </sheetView>
  </sheetViews>
  <sheetFormatPr defaultRowHeight="15" x14ac:dyDescent="0.25"/>
  <cols>
    <col min="1" max="1" width="18" bestFit="1" customWidth="1"/>
    <col min="2" max="3" width="18.42578125" bestFit="1" customWidth="1"/>
    <col min="4" max="4" width="18.42578125" customWidth="1"/>
    <col min="5" max="5" width="18.42578125" bestFit="1" customWidth="1"/>
    <col min="6" max="6" width="18.42578125" customWidth="1"/>
    <col min="7" max="7" width="18.42578125" bestFit="1" customWidth="1"/>
    <col min="8" max="8" width="18.5703125" bestFit="1" customWidth="1"/>
    <col min="9" max="9" width="19.42578125" bestFit="1" customWidth="1"/>
  </cols>
  <sheetData>
    <row r="1" spans="1:9" x14ac:dyDescent="0.25">
      <c r="A1" s="9" t="s">
        <v>21</v>
      </c>
      <c r="B1" s="9"/>
      <c r="C1" s="9"/>
      <c r="D1" s="9"/>
      <c r="E1" s="9"/>
      <c r="F1" s="9"/>
      <c r="G1" s="9"/>
      <c r="H1" s="9"/>
      <c r="I1" s="9"/>
    </row>
    <row r="2" spans="1:9" x14ac:dyDescent="0.25">
      <c r="A2" s="10" t="s">
        <v>0</v>
      </c>
      <c r="B2" s="11" t="s">
        <v>13</v>
      </c>
      <c r="C2" s="10" t="s">
        <v>14</v>
      </c>
      <c r="D2" s="10" t="s">
        <v>15</v>
      </c>
      <c r="E2" s="10" t="s">
        <v>16</v>
      </c>
      <c r="F2" s="10" t="s">
        <v>17</v>
      </c>
      <c r="G2" s="10" t="s">
        <v>18</v>
      </c>
      <c r="H2" s="10" t="s">
        <v>22</v>
      </c>
      <c r="I2" s="10" t="s">
        <v>20</v>
      </c>
    </row>
    <row r="3" spans="1:9" x14ac:dyDescent="0.25">
      <c r="A3" s="12" t="s">
        <v>1</v>
      </c>
      <c r="B3" s="5">
        <v>1</v>
      </c>
      <c r="C3" s="5">
        <v>1</v>
      </c>
      <c r="D3" s="5">
        <v>0</v>
      </c>
      <c r="E3" s="5">
        <v>0</v>
      </c>
      <c r="F3" s="5">
        <v>1</v>
      </c>
      <c r="G3" s="5">
        <v>1</v>
      </c>
      <c r="H3" s="5">
        <v>2</v>
      </c>
      <c r="I3" s="6">
        <v>4</v>
      </c>
    </row>
    <row r="4" spans="1:9" x14ac:dyDescent="0.25">
      <c r="A4" s="12" t="s">
        <v>2</v>
      </c>
      <c r="B4" s="5">
        <v>2</v>
      </c>
      <c r="C4" s="5">
        <v>1</v>
      </c>
      <c r="D4" s="5">
        <v>1</v>
      </c>
      <c r="E4" s="5">
        <v>1</v>
      </c>
      <c r="F4" s="5">
        <v>1</v>
      </c>
      <c r="G4" s="5">
        <v>1</v>
      </c>
      <c r="H4" s="5">
        <v>2</v>
      </c>
      <c r="I4" s="6">
        <v>5</v>
      </c>
    </row>
    <row r="5" spans="1:9" x14ac:dyDescent="0.25">
      <c r="A5" s="12" t="s">
        <v>3</v>
      </c>
      <c r="B5" s="5">
        <v>5</v>
      </c>
      <c r="C5" s="5">
        <v>3</v>
      </c>
      <c r="D5" s="5">
        <v>3</v>
      </c>
      <c r="E5" s="5">
        <v>3</v>
      </c>
      <c r="F5" s="5">
        <v>2</v>
      </c>
      <c r="G5" s="5">
        <v>2</v>
      </c>
      <c r="H5" s="5">
        <v>3</v>
      </c>
      <c r="I5" s="6">
        <v>3</v>
      </c>
    </row>
    <row r="6" spans="1:9" x14ac:dyDescent="0.25">
      <c r="A6" s="12" t="s">
        <v>4</v>
      </c>
      <c r="B6" s="5">
        <v>12</v>
      </c>
      <c r="C6" s="5">
        <v>6</v>
      </c>
      <c r="D6" s="5">
        <v>6</v>
      </c>
      <c r="E6" s="5">
        <v>6</v>
      </c>
      <c r="F6" s="5">
        <v>4</v>
      </c>
      <c r="G6" s="5">
        <v>4</v>
      </c>
      <c r="H6" s="5">
        <v>4</v>
      </c>
      <c r="I6" s="6">
        <v>6</v>
      </c>
    </row>
    <row r="7" spans="1:9" x14ac:dyDescent="0.25">
      <c r="A7" s="12" t="s">
        <v>5</v>
      </c>
      <c r="B7" s="5">
        <v>23</v>
      </c>
      <c r="C7" s="5">
        <v>12</v>
      </c>
      <c r="D7" s="5">
        <v>12</v>
      </c>
      <c r="E7" s="5">
        <v>12</v>
      </c>
      <c r="F7" s="5">
        <v>8</v>
      </c>
      <c r="G7" s="5">
        <v>8</v>
      </c>
      <c r="H7" s="5">
        <v>7</v>
      </c>
      <c r="I7" s="6">
        <v>8</v>
      </c>
    </row>
    <row r="8" spans="1:9" x14ac:dyDescent="0.25">
      <c r="A8" s="12" t="s">
        <v>6</v>
      </c>
      <c r="B8" s="5">
        <v>54</v>
      </c>
      <c r="C8" s="5">
        <v>30</v>
      </c>
      <c r="D8" s="5">
        <v>26</v>
      </c>
      <c r="E8" s="5">
        <v>29</v>
      </c>
      <c r="F8" s="5">
        <v>16</v>
      </c>
      <c r="G8" s="5">
        <v>15</v>
      </c>
      <c r="H8" s="5">
        <v>12</v>
      </c>
      <c r="I8" s="6">
        <v>12</v>
      </c>
    </row>
    <row r="9" spans="1:9" x14ac:dyDescent="0.25">
      <c r="A9" s="12" t="s">
        <v>7</v>
      </c>
      <c r="B9" s="5">
        <v>112</v>
      </c>
      <c r="C9" s="5">
        <v>58</v>
      </c>
      <c r="D9" s="5">
        <v>53</v>
      </c>
      <c r="E9" s="5">
        <v>58</v>
      </c>
      <c r="F9" s="5">
        <v>33</v>
      </c>
      <c r="G9" s="5">
        <v>34</v>
      </c>
      <c r="H9" s="5">
        <v>23</v>
      </c>
      <c r="I9" s="6">
        <v>21</v>
      </c>
    </row>
    <row r="10" spans="1:9" x14ac:dyDescent="0.25">
      <c r="A10" s="12" t="s">
        <v>8</v>
      </c>
      <c r="B10" s="5">
        <v>205</v>
      </c>
      <c r="C10" s="5">
        <v>111</v>
      </c>
      <c r="D10" s="5">
        <v>118</v>
      </c>
      <c r="E10" s="5">
        <v>110</v>
      </c>
      <c r="F10" s="5">
        <v>68</v>
      </c>
      <c r="G10" s="5">
        <v>63</v>
      </c>
      <c r="H10" s="5">
        <v>42</v>
      </c>
      <c r="I10" s="6">
        <v>35</v>
      </c>
    </row>
    <row r="11" spans="1:9" x14ac:dyDescent="0.25">
      <c r="A11" s="12" t="s">
        <v>9</v>
      </c>
      <c r="B11" s="5">
        <v>429</v>
      </c>
      <c r="C11" s="5">
        <v>218</v>
      </c>
      <c r="D11" s="5">
        <v>233</v>
      </c>
      <c r="E11" s="5">
        <v>220</v>
      </c>
      <c r="F11" s="5">
        <v>138</v>
      </c>
      <c r="G11" s="5">
        <v>130</v>
      </c>
      <c r="H11" s="5">
        <v>82</v>
      </c>
      <c r="I11" s="6">
        <v>60</v>
      </c>
    </row>
    <row r="12" spans="1:9" x14ac:dyDescent="0.25">
      <c r="A12" s="12" t="s">
        <v>10</v>
      </c>
      <c r="B12" s="5">
        <v>940</v>
      </c>
      <c r="C12" s="5">
        <v>501</v>
      </c>
      <c r="D12" s="5">
        <v>481</v>
      </c>
      <c r="E12" s="5">
        <v>505</v>
      </c>
      <c r="F12" s="5">
        <v>271</v>
      </c>
      <c r="G12" s="5">
        <v>282</v>
      </c>
      <c r="H12" s="5">
        <v>175</v>
      </c>
      <c r="I12" s="6">
        <v>129</v>
      </c>
    </row>
    <row r="13" spans="1:9" x14ac:dyDescent="0.25">
      <c r="A13" s="12" t="s">
        <v>11</v>
      </c>
      <c r="B13" s="5">
        <v>1941</v>
      </c>
      <c r="C13" s="5">
        <v>1005</v>
      </c>
      <c r="D13" s="5">
        <v>978</v>
      </c>
      <c r="E13" s="5">
        <v>999</v>
      </c>
      <c r="F13" s="5">
        <v>560</v>
      </c>
      <c r="G13" s="5">
        <v>557</v>
      </c>
      <c r="H13" s="5">
        <v>353</v>
      </c>
      <c r="I13" s="6">
        <v>269</v>
      </c>
    </row>
    <row r="14" spans="1:9" x14ac:dyDescent="0.25">
      <c r="A14" s="13" t="s">
        <v>12</v>
      </c>
      <c r="B14" s="7">
        <v>3920</v>
      </c>
      <c r="C14" s="7">
        <v>2066</v>
      </c>
      <c r="D14" s="7">
        <v>2057</v>
      </c>
      <c r="E14" s="7">
        <v>2061</v>
      </c>
      <c r="F14" s="7">
        <v>1134</v>
      </c>
      <c r="G14" s="7">
        <v>1168</v>
      </c>
      <c r="H14" s="7">
        <v>720</v>
      </c>
      <c r="I14" s="8">
        <v>558</v>
      </c>
    </row>
    <row r="61" spans="1:9" x14ac:dyDescent="0.25">
      <c r="A61" s="9" t="s">
        <v>23</v>
      </c>
      <c r="B61" s="9"/>
      <c r="C61" s="9"/>
      <c r="D61" s="9"/>
      <c r="E61" s="9"/>
      <c r="F61" s="9"/>
      <c r="G61" s="9"/>
      <c r="H61" s="9"/>
      <c r="I61" s="9"/>
    </row>
    <row r="62" spans="1:9" x14ac:dyDescent="0.25">
      <c r="A62" s="14" t="str">
        <f>A2</f>
        <v xml:space="preserve"> Masyvo dydis      </v>
      </c>
      <c r="B62" s="15" t="s">
        <v>13</v>
      </c>
      <c r="C62" s="14" t="s">
        <v>14</v>
      </c>
      <c r="D62" s="14" t="s">
        <v>15</v>
      </c>
      <c r="E62" s="14" t="s">
        <v>16</v>
      </c>
      <c r="F62" s="14" t="s">
        <v>17</v>
      </c>
      <c r="G62" s="14" t="s">
        <v>18</v>
      </c>
      <c r="H62" s="14" t="s">
        <v>19</v>
      </c>
      <c r="I62" s="14" t="s">
        <v>20</v>
      </c>
    </row>
    <row r="63" spans="1:9" x14ac:dyDescent="0.25">
      <c r="A63" s="12" t="str">
        <f t="shared" ref="A63" si="0">A3</f>
        <v xml:space="preserve"> 2^14 (16384)      </v>
      </c>
      <c r="B63" s="1">
        <f>0</f>
        <v>0</v>
      </c>
      <c r="C63" s="1">
        <f>IF(AND($B3&gt;0),(C3-$B3)/$B3,0)</f>
        <v>0</v>
      </c>
      <c r="D63" s="1">
        <f t="shared" ref="D63:I63" si="1">IF(AND($B3&gt;0),(D3-$B3)/$B3,0)</f>
        <v>-1</v>
      </c>
      <c r="E63" s="1">
        <f t="shared" si="1"/>
        <v>-1</v>
      </c>
      <c r="F63" s="1">
        <f t="shared" si="1"/>
        <v>0</v>
      </c>
      <c r="G63" s="1">
        <f t="shared" si="1"/>
        <v>0</v>
      </c>
      <c r="H63" s="1">
        <f t="shared" si="1"/>
        <v>1</v>
      </c>
      <c r="I63" s="2">
        <f t="shared" si="1"/>
        <v>3</v>
      </c>
    </row>
    <row r="64" spans="1:9" x14ac:dyDescent="0.25">
      <c r="A64" s="12" t="str">
        <f t="shared" ref="A64" si="2">A4</f>
        <v xml:space="preserve"> 2^15 (32768)      </v>
      </c>
      <c r="B64" s="1">
        <f>0</f>
        <v>0</v>
      </c>
      <c r="C64" s="1">
        <f t="shared" ref="C64:I74" si="3">IF(AND($B4&gt;0),(C4-$B4)/$B4,0)</f>
        <v>-0.5</v>
      </c>
      <c r="D64" s="1">
        <f t="shared" si="3"/>
        <v>-0.5</v>
      </c>
      <c r="E64" s="1">
        <f t="shared" si="3"/>
        <v>-0.5</v>
      </c>
      <c r="F64" s="1">
        <f t="shared" si="3"/>
        <v>-0.5</v>
      </c>
      <c r="G64" s="1">
        <f t="shared" si="3"/>
        <v>-0.5</v>
      </c>
      <c r="H64" s="1">
        <f t="shared" si="3"/>
        <v>0</v>
      </c>
      <c r="I64" s="2">
        <f t="shared" si="3"/>
        <v>1.5</v>
      </c>
    </row>
    <row r="65" spans="1:9" x14ac:dyDescent="0.25">
      <c r="A65" s="12" t="str">
        <f t="shared" ref="A65" si="4">A5</f>
        <v xml:space="preserve"> 2^16 (65536)      </v>
      </c>
      <c r="B65" s="1">
        <f>0</f>
        <v>0</v>
      </c>
      <c r="C65" s="1">
        <f t="shared" si="3"/>
        <v>-0.4</v>
      </c>
      <c r="D65" s="1">
        <f t="shared" si="3"/>
        <v>-0.4</v>
      </c>
      <c r="E65" s="1">
        <f t="shared" si="3"/>
        <v>-0.4</v>
      </c>
      <c r="F65" s="1">
        <f t="shared" si="3"/>
        <v>-0.6</v>
      </c>
      <c r="G65" s="1">
        <f t="shared" si="3"/>
        <v>-0.6</v>
      </c>
      <c r="H65" s="1">
        <f t="shared" si="3"/>
        <v>-0.4</v>
      </c>
      <c r="I65" s="2">
        <f t="shared" si="3"/>
        <v>-0.4</v>
      </c>
    </row>
    <row r="66" spans="1:9" x14ac:dyDescent="0.25">
      <c r="A66" s="12" t="str">
        <f t="shared" ref="A66" si="5">A6</f>
        <v xml:space="preserve"> 2^17 (131072)     </v>
      </c>
      <c r="B66" s="1">
        <f>0</f>
        <v>0</v>
      </c>
      <c r="C66" s="1">
        <f t="shared" si="3"/>
        <v>-0.5</v>
      </c>
      <c r="D66" s="1">
        <f t="shared" si="3"/>
        <v>-0.5</v>
      </c>
      <c r="E66" s="1">
        <f t="shared" si="3"/>
        <v>-0.5</v>
      </c>
      <c r="F66" s="1">
        <f t="shared" si="3"/>
        <v>-0.66666666666666663</v>
      </c>
      <c r="G66" s="1">
        <f t="shared" si="3"/>
        <v>-0.66666666666666663</v>
      </c>
      <c r="H66" s="1">
        <f t="shared" si="3"/>
        <v>-0.66666666666666663</v>
      </c>
      <c r="I66" s="2">
        <f t="shared" si="3"/>
        <v>-0.5</v>
      </c>
    </row>
    <row r="67" spans="1:9" x14ac:dyDescent="0.25">
      <c r="A67" s="12" t="str">
        <f t="shared" ref="A67" si="6">A7</f>
        <v xml:space="preserve"> 2^18 (262144)     </v>
      </c>
      <c r="B67" s="1">
        <f>0</f>
        <v>0</v>
      </c>
      <c r="C67" s="1">
        <f t="shared" si="3"/>
        <v>-0.47826086956521741</v>
      </c>
      <c r="D67" s="1">
        <f t="shared" si="3"/>
        <v>-0.47826086956521741</v>
      </c>
      <c r="E67" s="1">
        <f t="shared" si="3"/>
        <v>-0.47826086956521741</v>
      </c>
      <c r="F67" s="1">
        <f t="shared" si="3"/>
        <v>-0.65217391304347827</v>
      </c>
      <c r="G67" s="1">
        <f t="shared" si="3"/>
        <v>-0.65217391304347827</v>
      </c>
      <c r="H67" s="1">
        <f t="shared" si="3"/>
        <v>-0.69565217391304346</v>
      </c>
      <c r="I67" s="2">
        <f t="shared" si="3"/>
        <v>-0.65217391304347827</v>
      </c>
    </row>
    <row r="68" spans="1:9" x14ac:dyDescent="0.25">
      <c r="A68" s="12" t="str">
        <f t="shared" ref="A68" si="7">A8</f>
        <v xml:space="preserve"> 2^19 (524288)     </v>
      </c>
      <c r="B68" s="1">
        <f>0</f>
        <v>0</v>
      </c>
      <c r="C68" s="1">
        <f t="shared" si="3"/>
        <v>-0.44444444444444442</v>
      </c>
      <c r="D68" s="1">
        <f t="shared" si="3"/>
        <v>-0.51851851851851849</v>
      </c>
      <c r="E68" s="1">
        <f t="shared" si="3"/>
        <v>-0.46296296296296297</v>
      </c>
      <c r="F68" s="1">
        <f t="shared" si="3"/>
        <v>-0.70370370370370372</v>
      </c>
      <c r="G68" s="1">
        <f t="shared" si="3"/>
        <v>-0.72222222222222221</v>
      </c>
      <c r="H68" s="1">
        <f t="shared" si="3"/>
        <v>-0.77777777777777779</v>
      </c>
      <c r="I68" s="2">
        <f t="shared" si="3"/>
        <v>-0.77777777777777779</v>
      </c>
    </row>
    <row r="69" spans="1:9" x14ac:dyDescent="0.25">
      <c r="A69" s="12" t="str">
        <f t="shared" ref="A69" si="8">A9</f>
        <v xml:space="preserve"> 2^20 (1048576)    </v>
      </c>
      <c r="B69" s="1">
        <f>0</f>
        <v>0</v>
      </c>
      <c r="C69" s="1">
        <f t="shared" si="3"/>
        <v>-0.48214285714285715</v>
      </c>
      <c r="D69" s="1">
        <f t="shared" si="3"/>
        <v>-0.5267857142857143</v>
      </c>
      <c r="E69" s="1">
        <f t="shared" si="3"/>
        <v>-0.48214285714285715</v>
      </c>
      <c r="F69" s="1">
        <f t="shared" si="3"/>
        <v>-0.7053571428571429</v>
      </c>
      <c r="G69" s="1">
        <f t="shared" si="3"/>
        <v>-0.6964285714285714</v>
      </c>
      <c r="H69" s="1">
        <f t="shared" si="3"/>
        <v>-0.7946428571428571</v>
      </c>
      <c r="I69" s="2">
        <f t="shared" si="3"/>
        <v>-0.8125</v>
      </c>
    </row>
    <row r="70" spans="1:9" x14ac:dyDescent="0.25">
      <c r="A70" s="12" t="str">
        <f t="shared" ref="A70" si="9">A10</f>
        <v xml:space="preserve"> 2^21 (2097152)    </v>
      </c>
      <c r="B70" s="1">
        <f>0</f>
        <v>0</v>
      </c>
      <c r="C70" s="1">
        <f t="shared" si="3"/>
        <v>-0.45853658536585368</v>
      </c>
      <c r="D70" s="1">
        <f t="shared" si="3"/>
        <v>-0.42439024390243901</v>
      </c>
      <c r="E70" s="1">
        <f t="shared" si="3"/>
        <v>-0.46341463414634149</v>
      </c>
      <c r="F70" s="1">
        <f t="shared" si="3"/>
        <v>-0.66829268292682931</v>
      </c>
      <c r="G70" s="1">
        <f t="shared" si="3"/>
        <v>-0.69268292682926824</v>
      </c>
      <c r="H70" s="1">
        <f t="shared" si="3"/>
        <v>-0.79512195121951224</v>
      </c>
      <c r="I70" s="2">
        <f t="shared" si="3"/>
        <v>-0.82926829268292679</v>
      </c>
    </row>
    <row r="71" spans="1:9" x14ac:dyDescent="0.25">
      <c r="A71" s="12" t="str">
        <f t="shared" ref="A71" si="10">A11</f>
        <v xml:space="preserve"> 2^22 (4194304)    </v>
      </c>
      <c r="B71" s="1">
        <f>0</f>
        <v>0</v>
      </c>
      <c r="C71" s="1">
        <f t="shared" si="3"/>
        <v>-0.49184149184149184</v>
      </c>
      <c r="D71" s="1">
        <f t="shared" si="3"/>
        <v>-0.45687645687645689</v>
      </c>
      <c r="E71" s="1">
        <f t="shared" si="3"/>
        <v>-0.48717948717948717</v>
      </c>
      <c r="F71" s="1">
        <f t="shared" si="3"/>
        <v>-0.67832167832167833</v>
      </c>
      <c r="G71" s="1">
        <f t="shared" si="3"/>
        <v>-0.69696969696969702</v>
      </c>
      <c r="H71" s="1">
        <f t="shared" si="3"/>
        <v>-0.80885780885780889</v>
      </c>
      <c r="I71" s="2">
        <f t="shared" si="3"/>
        <v>-0.8601398601398601</v>
      </c>
    </row>
    <row r="72" spans="1:9" x14ac:dyDescent="0.25">
      <c r="A72" s="12" t="str">
        <f t="shared" ref="A72" si="11">A12</f>
        <v xml:space="preserve"> 2^23 (8388608)    </v>
      </c>
      <c r="B72" s="1">
        <f>0</f>
        <v>0</v>
      </c>
      <c r="C72" s="1">
        <f t="shared" si="3"/>
        <v>-0.46702127659574466</v>
      </c>
      <c r="D72" s="1">
        <f t="shared" si="3"/>
        <v>-0.48829787234042554</v>
      </c>
      <c r="E72" s="1">
        <f t="shared" si="3"/>
        <v>-0.46276595744680848</v>
      </c>
      <c r="F72" s="1">
        <f t="shared" si="3"/>
        <v>-0.71170212765957441</v>
      </c>
      <c r="G72" s="1">
        <f t="shared" si="3"/>
        <v>-0.7</v>
      </c>
      <c r="H72" s="1">
        <f t="shared" si="3"/>
        <v>-0.81382978723404253</v>
      </c>
      <c r="I72" s="2">
        <f t="shared" si="3"/>
        <v>-0.86276595744680851</v>
      </c>
    </row>
    <row r="73" spans="1:9" x14ac:dyDescent="0.25">
      <c r="A73" s="12" t="str">
        <f t="shared" ref="A73" si="12">A13</f>
        <v xml:space="preserve"> 2^24 (16777216)   </v>
      </c>
      <c r="B73" s="1">
        <f>0</f>
        <v>0</v>
      </c>
      <c r="C73" s="1">
        <f t="shared" si="3"/>
        <v>-0.48222565687789798</v>
      </c>
      <c r="D73" s="1">
        <f t="shared" si="3"/>
        <v>-0.49613601236476046</v>
      </c>
      <c r="E73" s="1">
        <f t="shared" si="3"/>
        <v>-0.48531684698608962</v>
      </c>
      <c r="F73" s="1">
        <f t="shared" si="3"/>
        <v>-0.71148892323544566</v>
      </c>
      <c r="G73" s="1">
        <f t="shared" si="3"/>
        <v>-0.71303451828954145</v>
      </c>
      <c r="H73" s="1">
        <f t="shared" si="3"/>
        <v>-0.81813498196805767</v>
      </c>
      <c r="I73" s="2">
        <f t="shared" si="3"/>
        <v>-0.86141164348274091</v>
      </c>
    </row>
    <row r="74" spans="1:9" x14ac:dyDescent="0.25">
      <c r="A74" s="13" t="str">
        <f t="shared" ref="A74" si="13">A14</f>
        <v xml:space="preserve"> 2^25 (33554432)   </v>
      </c>
      <c r="B74" s="3">
        <f>0</f>
        <v>0</v>
      </c>
      <c r="C74" s="3">
        <f t="shared" si="3"/>
        <v>-0.4729591836734694</v>
      </c>
      <c r="D74" s="3">
        <f t="shared" si="3"/>
        <v>-0.47525510204081634</v>
      </c>
      <c r="E74" s="3">
        <f t="shared" si="3"/>
        <v>-0.47423469387755102</v>
      </c>
      <c r="F74" s="3">
        <f t="shared" si="3"/>
        <v>-0.71071428571428574</v>
      </c>
      <c r="G74" s="3">
        <f t="shared" si="3"/>
        <v>-0.70204081632653059</v>
      </c>
      <c r="H74" s="3">
        <f t="shared" si="3"/>
        <v>-0.81632653061224492</v>
      </c>
      <c r="I74" s="4">
        <f t="shared" si="3"/>
        <v>-0.85765306122448981</v>
      </c>
    </row>
  </sheetData>
  <mergeCells count="2">
    <mergeCell ref="A61:I61"/>
    <mergeCell ref="A1:I1"/>
  </mergeCells>
  <pageMargins left="0.7" right="0.7" top="0.75" bottom="0.75" header="0.3" footer="0.3"/>
  <pageSetup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alius</dc:creator>
  <cp:lastModifiedBy>alius</cp:lastModifiedBy>
  <dcterms:created xsi:type="dcterms:W3CDTF">2025-11-06T19:49:20Z</dcterms:created>
  <dcterms:modified xsi:type="dcterms:W3CDTF">2025-11-06T22:23:47Z</dcterms:modified>
</cp:coreProperties>
</file>