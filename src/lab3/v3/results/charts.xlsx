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<sst xmlns="http://schemas.openxmlformats.org/spreadsheetml/2006/main" count="35" uniqueCount="34">
  <si>
    <t>Greitis (ms)</t>
  </si>
  <si>
    <t xml:space="preserve"> Masyvo dydis      </t>
  </si>
  <si>
    <t>1 gija</t>
  </si>
  <si>
    <t>2 gijos</t>
  </si>
  <si>
    <t>3 gijos</t>
  </si>
  <si>
    <t>4 gijos</t>
  </si>
  <si>
    <t>6 gijos</t>
  </si>
  <si>
    <t>8 gijos</t>
  </si>
  <si>
    <t>16 gijų</t>
  </si>
  <si>
    <t>32 gijos</t>
  </si>
  <si>
    <t xml:space="preserve">2^14 (16384)      </t>
  </si>
  <si>
    <t xml:space="preserve">2^15 (32768)      </t>
  </si>
  <si>
    <t xml:space="preserve">2^16 (65536)      </t>
  </si>
  <si>
    <t xml:space="preserve">2^17 (131072)     </t>
  </si>
  <si>
    <t xml:space="preserve">2^18 (262144)     </t>
  </si>
  <si>
    <t xml:space="preserve">2^19 (524288)     </t>
  </si>
  <si>
    <t xml:space="preserve">2^20 (1048576)    </t>
  </si>
  <si>
    <t xml:space="preserve">2^21 (2097152)    </t>
  </si>
  <si>
    <t xml:space="preserve">2^22 (4194304)    </t>
  </si>
  <si>
    <t xml:space="preserve">2^23 (8388608)    </t>
  </si>
  <si>
    <t xml:space="preserve">2^24 (16777216)   </t>
  </si>
  <si>
    <t xml:space="preserve">2^25 (33554432)   </t>
  </si>
  <si>
    <t>Pokytis nuo 1 gijos (%)</t>
  </si>
  <si>
    <t>duomenų kiekis / gijos</t>
  </si>
  <si>
    <t>Realus spartėjimas</t>
  </si>
  <si>
    <t>tparallel</t>
  </si>
  <si>
    <t>Teorinis spartėjimas</t>
  </si>
  <si>
    <t>tserial (sequantial time (T1)</t>
  </si>
  <si>
    <t>n</t>
  </si>
  <si>
    <t>tparalel 2</t>
  </si>
  <si>
    <t>tparalel 4</t>
  </si>
  <si>
    <t>spartinimas 8iems</t>
  </si>
  <si>
    <t>spartinimas 16iems</t>
  </si>
  <si>
    <t>spartinimas 32iems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</si>
</sst>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0" fillId="0" fontId="3" numFmtId="0" xfId="0" applyFont="1"/>
    <xf borderId="7" fillId="0" fontId="4" numFmtId="0" xfId="0" applyBorder="1" applyFont="1"/>
    <xf borderId="8" fillId="2" fontId="1" numFmtId="0" xfId="0" applyBorder="1" applyFont="1"/>
    <xf borderId="9" fillId="0" fontId="4" numFmtId="0" xfId="0" applyBorder="1" applyFont="1"/>
    <xf borderId="10" fillId="0" fontId="4" numFmtId="0" xfId="0" applyBorder="1" applyFont="1"/>
    <xf borderId="0" fillId="0" fontId="3" numFmtId="0" xfId="0" applyAlignment="1" applyFont="1">
      <alignment readingOrder="0"/>
    </xf>
    <xf borderId="4" fillId="2" fontId="1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/>
    </xf>
    <xf borderId="9" fillId="0" fontId="4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9" fillId="0" fontId="4" numFmtId="4" xfId="0" applyAlignment="1" applyBorder="1" applyFont="1" applyNumberFormat="1">
      <alignment readingOrder="0"/>
    </xf>
    <xf borderId="10" fillId="0" fontId="4" numFmtId="4" xfId="0" applyAlignment="1" applyBorder="1" applyFont="1" applyNumberFormat="1">
      <alignment readingOrder="0"/>
    </xf>
    <xf borderId="9" fillId="0" fontId="3" numFmtId="4" xfId="0" applyBorder="1" applyFont="1" applyNumberFormat="1"/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Sheet1!$A$24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Tendencija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Sheet1!$B$20:$AG$20</c:f>
            </c:strRef>
          </c:cat>
          <c:val>
            <c:numRef>
              <c:f>Sheet1!$B$24:$AG$24</c:f>
              <c:numCache/>
            </c:numRef>
          </c:val>
          <c:smooth val="1"/>
        </c:ser>
        <c:ser>
          <c:idx val="1"/>
          <c:order val="1"/>
          <c:tx>
            <c:strRef>
              <c:f>Sheet1!$A$23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circle"/>
            <c:size val="10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trendline>
            <c:name>Tendencija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Sheet1!$B$20:$AG$20</c:f>
            </c:strRef>
          </c:cat>
          <c:val>
            <c:numRef>
              <c:f>Sheet1!$B$23:$AG$23</c:f>
              <c:numCache/>
            </c:numRef>
          </c:val>
          <c:smooth val="1"/>
        </c:ser>
        <c:axId val="209951028"/>
        <c:axId val="1438445224"/>
      </c:lineChart>
      <c:catAx>
        <c:axId val="2099510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8445224"/>
      </c:catAx>
      <c:valAx>
        <c:axId val="1438445224"/>
        <c:scaling>
          <c:orientation val="minMax"/>
          <c:max val="1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951028"/>
        <c:majorUnit val="1.0"/>
        <c:minorUnit val="0.3333333333333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1133475</xdr:colOff>
      <xdr:row>38</xdr:row>
      <xdr:rowOff>19050</xdr:rowOff>
    </xdr:from>
    <xdr:ext cx="9820275" cy="61055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7" width="18.43"/>
    <col customWidth="1" min="8" max="8" width="18.57"/>
    <col customWidth="1" min="9" max="9" width="19.43"/>
    <col customWidth="1" min="10" max="34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>
      <c r="A3" s="6" t="s">
        <v>10</v>
      </c>
      <c r="B3" s="7">
        <v>1.0</v>
      </c>
      <c r="C3" s="7">
        <v>1.0</v>
      </c>
      <c r="D3" s="7">
        <v>0.0</v>
      </c>
      <c r="E3" s="7">
        <v>0.0</v>
      </c>
      <c r="F3" s="7">
        <v>1.0</v>
      </c>
      <c r="G3" s="7">
        <v>1.0</v>
      </c>
      <c r="H3" s="7">
        <v>2.0</v>
      </c>
      <c r="I3" s="8">
        <v>4.0</v>
      </c>
    </row>
    <row r="4">
      <c r="A4" s="6" t="s">
        <v>11</v>
      </c>
      <c r="B4" s="7">
        <v>2.0</v>
      </c>
      <c r="C4" s="7">
        <v>1.0</v>
      </c>
      <c r="D4" s="7">
        <v>1.0</v>
      </c>
      <c r="E4" s="7">
        <v>1.0</v>
      </c>
      <c r="F4" s="7">
        <v>1.0</v>
      </c>
      <c r="G4" s="7">
        <v>1.0</v>
      </c>
      <c r="H4" s="7">
        <v>2.0</v>
      </c>
      <c r="I4" s="8">
        <v>5.0</v>
      </c>
    </row>
    <row r="5">
      <c r="A5" s="6" t="s">
        <v>12</v>
      </c>
      <c r="B5" s="7">
        <v>5.0</v>
      </c>
      <c r="C5" s="7">
        <v>3.0</v>
      </c>
      <c r="D5" s="7">
        <v>3.0</v>
      </c>
      <c r="E5" s="7">
        <v>3.0</v>
      </c>
      <c r="F5" s="7">
        <v>2.0</v>
      </c>
      <c r="G5" s="7">
        <v>2.0</v>
      </c>
      <c r="H5" s="7">
        <v>3.0</v>
      </c>
      <c r="I5" s="8">
        <v>3.0</v>
      </c>
    </row>
    <row r="6">
      <c r="A6" s="6" t="s">
        <v>13</v>
      </c>
      <c r="B6" s="7">
        <v>12.0</v>
      </c>
      <c r="C6" s="7">
        <v>6.0</v>
      </c>
      <c r="D6" s="7">
        <v>6.0</v>
      </c>
      <c r="E6" s="7">
        <v>6.0</v>
      </c>
      <c r="F6" s="7">
        <v>4.0</v>
      </c>
      <c r="G6" s="7">
        <v>4.0</v>
      </c>
      <c r="H6" s="7">
        <v>4.0</v>
      </c>
      <c r="I6" s="8">
        <v>6.0</v>
      </c>
    </row>
    <row r="7">
      <c r="A7" s="6" t="s">
        <v>14</v>
      </c>
      <c r="B7" s="7">
        <v>23.0</v>
      </c>
      <c r="C7" s="7">
        <v>12.0</v>
      </c>
      <c r="D7" s="7">
        <v>12.0</v>
      </c>
      <c r="E7" s="7">
        <v>12.0</v>
      </c>
      <c r="F7" s="7">
        <v>8.0</v>
      </c>
      <c r="G7" s="7">
        <v>8.0</v>
      </c>
      <c r="H7" s="7">
        <v>7.0</v>
      </c>
      <c r="I7" s="8">
        <v>8.0</v>
      </c>
    </row>
    <row r="8">
      <c r="A8" s="6" t="s">
        <v>15</v>
      </c>
      <c r="B8" s="7">
        <v>54.0</v>
      </c>
      <c r="C8" s="7">
        <v>30.0</v>
      </c>
      <c r="D8" s="7">
        <v>26.0</v>
      </c>
      <c r="E8" s="7">
        <v>29.0</v>
      </c>
      <c r="F8" s="7">
        <v>16.0</v>
      </c>
      <c r="G8" s="7">
        <v>15.0</v>
      </c>
      <c r="H8" s="7">
        <v>12.0</v>
      </c>
      <c r="I8" s="8">
        <v>12.0</v>
      </c>
    </row>
    <row r="9">
      <c r="A9" s="6" t="s">
        <v>16</v>
      </c>
      <c r="B9" s="7">
        <v>112.0</v>
      </c>
      <c r="C9" s="7">
        <v>58.0</v>
      </c>
      <c r="D9" s="7">
        <v>53.0</v>
      </c>
      <c r="E9" s="7">
        <v>58.0</v>
      </c>
      <c r="F9" s="7">
        <v>33.0</v>
      </c>
      <c r="G9" s="7">
        <v>34.0</v>
      </c>
      <c r="H9" s="7">
        <v>23.0</v>
      </c>
      <c r="I9" s="8">
        <v>21.0</v>
      </c>
    </row>
    <row r="10">
      <c r="A10" s="6" t="s">
        <v>17</v>
      </c>
      <c r="B10" s="7">
        <v>205.0</v>
      </c>
      <c r="C10" s="7">
        <v>111.0</v>
      </c>
      <c r="D10" s="7">
        <v>118.0</v>
      </c>
      <c r="E10" s="7">
        <v>110.0</v>
      </c>
      <c r="F10" s="7">
        <v>68.0</v>
      </c>
      <c r="G10" s="7">
        <v>63.0</v>
      </c>
      <c r="H10" s="7">
        <v>42.0</v>
      </c>
      <c r="I10" s="8">
        <v>35.0</v>
      </c>
    </row>
    <row r="11">
      <c r="A11" s="6" t="s">
        <v>18</v>
      </c>
      <c r="B11" s="7">
        <v>429.0</v>
      </c>
      <c r="C11" s="7">
        <v>218.0</v>
      </c>
      <c r="D11" s="7">
        <v>233.0</v>
      </c>
      <c r="E11" s="7">
        <v>220.0</v>
      </c>
      <c r="F11" s="7">
        <v>138.0</v>
      </c>
      <c r="G11" s="7">
        <v>130.0</v>
      </c>
      <c r="H11" s="7">
        <v>82.0</v>
      </c>
      <c r="I11" s="8">
        <v>60.0</v>
      </c>
    </row>
    <row r="12">
      <c r="A12" s="6" t="s">
        <v>19</v>
      </c>
      <c r="B12" s="7">
        <v>940.0</v>
      </c>
      <c r="C12" s="7">
        <v>501.0</v>
      </c>
      <c r="D12" s="7">
        <v>481.0</v>
      </c>
      <c r="E12" s="7">
        <v>505.0</v>
      </c>
      <c r="F12" s="7">
        <v>271.0</v>
      </c>
      <c r="G12" s="7">
        <v>282.0</v>
      </c>
      <c r="H12" s="7">
        <v>175.0</v>
      </c>
      <c r="I12" s="8">
        <v>129.0</v>
      </c>
    </row>
    <row r="13">
      <c r="A13" s="6" t="s">
        <v>20</v>
      </c>
      <c r="B13" s="7">
        <v>1941.0</v>
      </c>
      <c r="C13" s="7">
        <v>1005.0</v>
      </c>
      <c r="D13" s="7">
        <v>978.0</v>
      </c>
      <c r="E13" s="7">
        <v>999.0</v>
      </c>
      <c r="F13" s="7">
        <v>560.0</v>
      </c>
      <c r="G13" s="7">
        <v>557.0</v>
      </c>
      <c r="H13" s="7">
        <v>353.0</v>
      </c>
      <c r="I13" s="8">
        <v>269.0</v>
      </c>
    </row>
    <row r="14">
      <c r="A14" s="9" t="s">
        <v>21</v>
      </c>
      <c r="B14" s="10">
        <v>3920.0</v>
      </c>
      <c r="C14" s="10">
        <v>2066.0</v>
      </c>
      <c r="D14" s="10">
        <v>2057.0</v>
      </c>
      <c r="E14" s="10">
        <v>2061.0</v>
      </c>
      <c r="F14" s="10">
        <v>1134.0</v>
      </c>
      <c r="G14" s="10">
        <v>1168.0</v>
      </c>
      <c r="H14" s="10">
        <v>720.0</v>
      </c>
      <c r="I14" s="11">
        <v>558.0</v>
      </c>
    </row>
    <row r="16" ht="15.75" customHeight="1"/>
    <row r="17" ht="15.75" customHeight="1"/>
    <row r="18" ht="15.75" customHeight="1">
      <c r="B18" s="12">
        <v>1.0</v>
      </c>
      <c r="C18" s="12">
        <v>2.0</v>
      </c>
      <c r="D18" s="12">
        <v>3.0</v>
      </c>
      <c r="E18" s="12">
        <v>4.0</v>
      </c>
      <c r="F18" s="12">
        <v>5.0</v>
      </c>
      <c r="G18" s="12">
        <v>6.0</v>
      </c>
      <c r="H18" s="12">
        <v>7.0</v>
      </c>
      <c r="I18" s="12">
        <v>8.0</v>
      </c>
      <c r="J18" s="12">
        <v>9.0</v>
      </c>
      <c r="K18" s="12">
        <v>10.0</v>
      </c>
      <c r="L18" s="12">
        <v>11.0</v>
      </c>
      <c r="M18" s="12">
        <v>12.0</v>
      </c>
      <c r="N18" s="12">
        <v>13.0</v>
      </c>
      <c r="O18" s="12">
        <v>14.0</v>
      </c>
      <c r="P18" s="12">
        <v>15.0</v>
      </c>
      <c r="Q18" s="12">
        <v>16.0</v>
      </c>
      <c r="R18" s="12">
        <v>17.0</v>
      </c>
      <c r="S18" s="12">
        <v>18.0</v>
      </c>
      <c r="T18" s="12">
        <v>19.0</v>
      </c>
      <c r="U18" s="12">
        <v>20.0</v>
      </c>
      <c r="V18" s="12">
        <v>21.0</v>
      </c>
      <c r="W18" s="12">
        <v>22.0</v>
      </c>
      <c r="X18" s="12">
        <v>23.0</v>
      </c>
      <c r="Y18" s="12">
        <v>24.0</v>
      </c>
      <c r="Z18" s="12">
        <v>25.0</v>
      </c>
      <c r="AA18" s="12">
        <v>26.0</v>
      </c>
      <c r="AB18" s="12">
        <v>27.0</v>
      </c>
      <c r="AC18" s="12">
        <v>28.0</v>
      </c>
      <c r="AD18" s="12">
        <v>29.0</v>
      </c>
      <c r="AE18" s="12">
        <v>30.0</v>
      </c>
      <c r="AF18" s="12">
        <v>31.0</v>
      </c>
      <c r="AG18" s="12">
        <v>32.0</v>
      </c>
    </row>
    <row r="19" ht="15.75" customHeight="1">
      <c r="A19" s="4" t="s">
        <v>22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ht="15.75" customHeight="1">
      <c r="A20" s="13" t="s">
        <v>23</v>
      </c>
      <c r="B20" s="14" t="str">
        <f t="shared" ref="B20:AG20" si="1">CONCAT(B18," gijos")</f>
        <v>1 gijos</v>
      </c>
      <c r="C20" s="14" t="str">
        <f t="shared" si="1"/>
        <v>2 gijos</v>
      </c>
      <c r="D20" s="14" t="str">
        <f t="shared" si="1"/>
        <v>3 gijos</v>
      </c>
      <c r="E20" s="14" t="str">
        <f t="shared" si="1"/>
        <v>4 gijos</v>
      </c>
      <c r="F20" s="14" t="str">
        <f t="shared" si="1"/>
        <v>5 gijos</v>
      </c>
      <c r="G20" s="14" t="str">
        <f t="shared" si="1"/>
        <v>6 gijos</v>
      </c>
      <c r="H20" s="14" t="str">
        <f t="shared" si="1"/>
        <v>7 gijos</v>
      </c>
      <c r="I20" s="14" t="str">
        <f t="shared" si="1"/>
        <v>8 gijos</v>
      </c>
      <c r="J20" s="14" t="str">
        <f t="shared" si="1"/>
        <v>9 gijos</v>
      </c>
      <c r="K20" s="14" t="str">
        <f t="shared" si="1"/>
        <v>10 gijos</v>
      </c>
      <c r="L20" s="14" t="str">
        <f t="shared" si="1"/>
        <v>11 gijos</v>
      </c>
      <c r="M20" s="14" t="str">
        <f t="shared" si="1"/>
        <v>12 gijos</v>
      </c>
      <c r="N20" s="14" t="str">
        <f t="shared" si="1"/>
        <v>13 gijos</v>
      </c>
      <c r="O20" s="14" t="str">
        <f t="shared" si="1"/>
        <v>14 gijos</v>
      </c>
      <c r="P20" s="14" t="str">
        <f t="shared" si="1"/>
        <v>15 gijos</v>
      </c>
      <c r="Q20" s="14" t="str">
        <f t="shared" si="1"/>
        <v>16 gijos</v>
      </c>
      <c r="R20" s="14" t="str">
        <f t="shared" si="1"/>
        <v>17 gijos</v>
      </c>
      <c r="S20" s="14" t="str">
        <f t="shared" si="1"/>
        <v>18 gijos</v>
      </c>
      <c r="T20" s="14" t="str">
        <f t="shared" si="1"/>
        <v>19 gijos</v>
      </c>
      <c r="U20" s="14" t="str">
        <f t="shared" si="1"/>
        <v>20 gijos</v>
      </c>
      <c r="V20" s="14" t="str">
        <f t="shared" si="1"/>
        <v>21 gijos</v>
      </c>
      <c r="W20" s="14" t="str">
        <f t="shared" si="1"/>
        <v>22 gijos</v>
      </c>
      <c r="X20" s="14" t="str">
        <f t="shared" si="1"/>
        <v>23 gijos</v>
      </c>
      <c r="Y20" s="14" t="str">
        <f t="shared" si="1"/>
        <v>24 gijos</v>
      </c>
      <c r="Z20" s="14" t="str">
        <f t="shared" si="1"/>
        <v>25 gijos</v>
      </c>
      <c r="AA20" s="14" t="str">
        <f t="shared" si="1"/>
        <v>26 gijos</v>
      </c>
      <c r="AB20" s="14" t="str">
        <f t="shared" si="1"/>
        <v>27 gijos</v>
      </c>
      <c r="AC20" s="14" t="str">
        <f t="shared" si="1"/>
        <v>28 gijos</v>
      </c>
      <c r="AD20" s="14" t="str">
        <f t="shared" si="1"/>
        <v>29 gijos</v>
      </c>
      <c r="AE20" s="14" t="str">
        <f t="shared" si="1"/>
        <v>30 gijos</v>
      </c>
      <c r="AF20" s="14" t="str">
        <f t="shared" si="1"/>
        <v>31 gijos</v>
      </c>
      <c r="AG20" s="14" t="str">
        <f t="shared" si="1"/>
        <v>32 gijos</v>
      </c>
    </row>
    <row r="21" ht="15.75" customHeight="1">
      <c r="A21" s="6" t="str">
        <f>$A14</f>
        <v>2^25 (33554432)   </v>
      </c>
      <c r="B21" s="15">
        <v>3712.0</v>
      </c>
      <c r="C21" s="15">
        <v>1993.0</v>
      </c>
      <c r="D21" s="16">
        <v>1971.0</v>
      </c>
      <c r="E21" s="15">
        <v>1987.0</v>
      </c>
      <c r="F21" s="16">
        <v>1975.0</v>
      </c>
      <c r="G21" s="16">
        <v>1143.0</v>
      </c>
      <c r="H21" s="16">
        <v>1146.0</v>
      </c>
      <c r="I21" s="15">
        <v>1151.0</v>
      </c>
      <c r="J21" s="16">
        <v>1145.0</v>
      </c>
      <c r="K21" s="16">
        <v>1160.0</v>
      </c>
      <c r="L21" s="16">
        <v>1150.0</v>
      </c>
      <c r="M21" s="16">
        <v>1188.0</v>
      </c>
      <c r="N21" s="16">
        <v>1179.0</v>
      </c>
      <c r="O21" s="16">
        <v>727.0</v>
      </c>
      <c r="P21" s="16">
        <v>746.0</v>
      </c>
      <c r="Q21" s="15">
        <v>723.0</v>
      </c>
      <c r="R21" s="16">
        <v>722.0</v>
      </c>
      <c r="S21" s="16">
        <v>734.0</v>
      </c>
      <c r="T21" s="16">
        <v>738.0</v>
      </c>
      <c r="U21" s="16">
        <v>732.0</v>
      </c>
      <c r="V21" s="16">
        <v>748.0</v>
      </c>
      <c r="W21" s="16">
        <v>747.0</v>
      </c>
      <c r="X21" s="16">
        <v>740.0</v>
      </c>
      <c r="Y21" s="16">
        <v>737.0</v>
      </c>
      <c r="Z21" s="16">
        <v>762.0</v>
      </c>
      <c r="AA21" s="16">
        <v>758.0</v>
      </c>
      <c r="AB21" s="16">
        <v>737.0</v>
      </c>
      <c r="AC21" s="16">
        <v>735.0</v>
      </c>
      <c r="AD21" s="16">
        <v>748.0</v>
      </c>
      <c r="AE21" s="16">
        <v>582.0</v>
      </c>
      <c r="AF21" s="16">
        <v>565.0</v>
      </c>
      <c r="AG21" s="17">
        <v>575.0</v>
      </c>
    </row>
    <row r="22" ht="15.75" customHeight="1">
      <c r="A22" s="18" t="s">
        <v>24</v>
      </c>
      <c r="B22" s="19">
        <f>B21/B21</f>
        <v>1</v>
      </c>
      <c r="C22" s="19">
        <f t="shared" ref="C22:AG22" si="2">$B$21/C21</f>
        <v>1.862518816</v>
      </c>
      <c r="D22" s="20">
        <f t="shared" si="2"/>
        <v>1.883307965</v>
      </c>
      <c r="E22" s="19">
        <f t="shared" si="2"/>
        <v>1.868142929</v>
      </c>
      <c r="F22" s="20">
        <f t="shared" si="2"/>
        <v>1.879493671</v>
      </c>
      <c r="G22" s="20">
        <f t="shared" si="2"/>
        <v>3.247594051</v>
      </c>
      <c r="H22" s="20">
        <f t="shared" si="2"/>
        <v>3.239092496</v>
      </c>
      <c r="I22" s="19">
        <f t="shared" si="2"/>
        <v>3.22502172</v>
      </c>
      <c r="J22" s="20">
        <f t="shared" si="2"/>
        <v>3.241921397</v>
      </c>
      <c r="K22" s="20">
        <f t="shared" si="2"/>
        <v>3.2</v>
      </c>
      <c r="L22" s="20">
        <f t="shared" si="2"/>
        <v>3.227826087</v>
      </c>
      <c r="M22" s="20">
        <f t="shared" si="2"/>
        <v>3.124579125</v>
      </c>
      <c r="N22" s="20">
        <f t="shared" si="2"/>
        <v>3.148430874</v>
      </c>
      <c r="O22" s="20">
        <f t="shared" si="2"/>
        <v>5.105914718</v>
      </c>
      <c r="P22" s="20">
        <f t="shared" si="2"/>
        <v>4.975871314</v>
      </c>
      <c r="Q22" s="19">
        <f t="shared" si="2"/>
        <v>5.134163209</v>
      </c>
      <c r="R22" s="20">
        <f t="shared" si="2"/>
        <v>5.141274238</v>
      </c>
      <c r="S22" s="20">
        <f t="shared" si="2"/>
        <v>5.057220708</v>
      </c>
      <c r="T22" s="20">
        <f t="shared" si="2"/>
        <v>5.029810298</v>
      </c>
      <c r="U22" s="20">
        <f t="shared" si="2"/>
        <v>5.071038251</v>
      </c>
      <c r="V22" s="20">
        <f t="shared" si="2"/>
        <v>4.962566845</v>
      </c>
      <c r="W22" s="20">
        <f t="shared" si="2"/>
        <v>4.969210174</v>
      </c>
      <c r="X22" s="20">
        <f t="shared" si="2"/>
        <v>5.016216216</v>
      </c>
      <c r="Y22" s="20">
        <f t="shared" si="2"/>
        <v>5.036635007</v>
      </c>
      <c r="Z22" s="20">
        <f t="shared" si="2"/>
        <v>4.871391076</v>
      </c>
      <c r="AA22" s="20">
        <f t="shared" si="2"/>
        <v>4.897097625</v>
      </c>
      <c r="AB22" s="20">
        <f t="shared" si="2"/>
        <v>5.036635007</v>
      </c>
      <c r="AC22" s="20">
        <f t="shared" si="2"/>
        <v>5.050340136</v>
      </c>
      <c r="AD22" s="20">
        <f t="shared" si="2"/>
        <v>4.962566845</v>
      </c>
      <c r="AE22" s="20">
        <f t="shared" si="2"/>
        <v>6.378006873</v>
      </c>
      <c r="AF22" s="20">
        <f t="shared" si="2"/>
        <v>6.569911504</v>
      </c>
      <c r="AG22" s="20">
        <f t="shared" si="2"/>
        <v>6.455652174</v>
      </c>
    </row>
    <row r="23" ht="15.75" customHeight="1">
      <c r="A23" s="12" t="s">
        <v>25</v>
      </c>
      <c r="C23" s="7">
        <f>$C$28/2*LOG($C$28/2,2)+$C$28</f>
        <v>436207616</v>
      </c>
    </row>
    <row r="24" ht="15.75" customHeight="1">
      <c r="A24" s="18" t="s">
        <v>26</v>
      </c>
      <c r="B24" s="19">
        <f>1</f>
        <v>1</v>
      </c>
      <c r="C24" s="19">
        <f>$C$29/C30</f>
        <v>1.923076923</v>
      </c>
      <c r="D24" s="21"/>
      <c r="E24" s="19">
        <f>D31</f>
        <v>3.448275862</v>
      </c>
      <c r="F24" s="21"/>
      <c r="G24" s="21"/>
      <c r="H24" s="21"/>
      <c r="I24" s="19">
        <f>D32</f>
        <v>5.555555556</v>
      </c>
      <c r="J24" s="21"/>
      <c r="K24" s="21"/>
      <c r="L24" s="21"/>
      <c r="M24" s="21"/>
      <c r="N24" s="21"/>
      <c r="O24" s="21"/>
      <c r="P24" s="21"/>
      <c r="Q24" s="19">
        <f>D33</f>
        <v>7.843137255</v>
      </c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0"/>
      <c r="AG24" s="20">
        <f>D34</f>
        <v>9.756097561</v>
      </c>
    </row>
    <row r="25">
      <c r="A25" s="12" t="s">
        <v>27</v>
      </c>
      <c r="C25" s="7">
        <f>$C$28*LOG($C$28,2)</f>
        <v>838860800</v>
      </c>
    </row>
    <row r="26" ht="15.75" customHeight="1"/>
    <row r="27" ht="15.75" customHeight="1"/>
    <row r="28" ht="15.75" customHeight="1">
      <c r="B28" s="12" t="s">
        <v>28</v>
      </c>
      <c r="C28" s="12">
        <f>2^25</f>
        <v>33554432</v>
      </c>
    </row>
    <row r="29" ht="15.75" customHeight="1">
      <c r="B29" s="12" t="s">
        <v>27</v>
      </c>
      <c r="C29" s="7">
        <f>$C$28*LOG($C$28,2)</f>
        <v>838860800</v>
      </c>
    </row>
    <row r="30" ht="15.75" customHeight="1">
      <c r="B30" s="12" t="s">
        <v>29</v>
      </c>
      <c r="C30" s="7">
        <f>$C$28/2*LOG($C$28/2,2)+$C$28</f>
        <v>436207616</v>
      </c>
      <c r="D30" s="7">
        <f t="shared" ref="D30:D34" si="3">$C$29/C30</f>
        <v>1.923076923</v>
      </c>
      <c r="G30" s="22"/>
    </row>
    <row r="31" ht="15.75" customHeight="1">
      <c r="B31" s="12" t="s">
        <v>30</v>
      </c>
      <c r="C31" s="7">
        <f>$C$28/4*LOG($C$28/4,2)+$C$28/2+$C$28</f>
        <v>243269632</v>
      </c>
      <c r="D31" s="7">
        <f t="shared" si="3"/>
        <v>3.448275862</v>
      </c>
      <c r="G31" s="22"/>
    </row>
    <row r="32" ht="15.75" customHeight="1">
      <c r="B32" s="12" t="s">
        <v>31</v>
      </c>
      <c r="C32" s="7">
        <f>$C$28/8*LOG($C$28/8,2)+$C$28/4+$C$28/2+$C$28</f>
        <v>150994944</v>
      </c>
      <c r="D32" s="7">
        <f t="shared" si="3"/>
        <v>5.555555556</v>
      </c>
      <c r="G32" s="22"/>
    </row>
    <row r="33" ht="15.75" customHeight="1">
      <c r="B33" s="12" t="s">
        <v>32</v>
      </c>
      <c r="C33" s="7">
        <f>$C$28/16*LOG($C$28/16,2)+$C$28/8+$C$28/4+$C$28/2+$C$28</f>
        <v>106954752</v>
      </c>
      <c r="D33" s="7">
        <f t="shared" si="3"/>
        <v>7.843137255</v>
      </c>
      <c r="G33" s="22"/>
    </row>
    <row r="34" ht="15.75" customHeight="1">
      <c r="B34" s="12" t="s">
        <v>33</v>
      </c>
      <c r="C34" s="7">
        <f>$C$28/32*LOG($C$28/32,2)+$C$28/16+$C$28/8+$C$28/4+$C$28/2+$C$28</f>
        <v>85983232</v>
      </c>
      <c r="D34" s="7">
        <f t="shared" si="3"/>
        <v>9.756097561</v>
      </c>
      <c r="G34" s="22"/>
    </row>
    <row r="35" ht="15.75" customHeight="1">
      <c r="G35" s="22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</sheetData>
  <mergeCells count="1">
    <mergeCell ref="A1:I1"/>
  </mergeCells>
  <printOptions/>
  <pageMargins bottom="0.75" footer="0.0" header="0.0" left="0.7" right="0.7" top="0.75"/>
  <pageSetup orientation="portrait"/>
  <drawing r:id="rId1"/>
</worksheet>
</file>