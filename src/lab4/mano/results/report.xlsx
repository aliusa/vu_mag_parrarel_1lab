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\\wsl$\Ubuntu\data\www_me\vu_java\parallel\src\lab4\mano\results\"/>
    </mc:Choice>
  </mc:AlternateContent>
  <xr:revisionPtr revIDLastSave="0" documentId="13_ncr:1_{4B0CAA2A-0734-42B5-B1C5-32DE75712F65}" xr6:coauthVersionLast="47" xr6:coauthVersionMax="47" xr10:uidLastSave="{00000000-0000-0000-0000-000000000000}"/>
  <bookViews>
    <workbookView xWindow="6645" yWindow="720" windowWidth="38160" windowHeight="20010" tabRatio="358" activeTab="1" xr2:uid="{00000000-000D-0000-FFFF-FFFF00000000}"/>
  </bookViews>
  <sheets>
    <sheet name="lab3" sheetId="1" r:id="rId1"/>
    <sheet name="lab4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2" l="1"/>
  <c r="T5" i="2"/>
  <c r="U6" i="2" s="1"/>
  <c r="T6" i="2"/>
  <c r="V6" i="2"/>
  <c r="T7" i="2"/>
  <c r="U7" i="2"/>
  <c r="V7" i="2"/>
  <c r="T8" i="2"/>
  <c r="U8" i="2"/>
  <c r="V8" i="2"/>
  <c r="T9" i="2"/>
  <c r="U9" i="2" s="1"/>
  <c r="V9" i="2"/>
  <c r="T10" i="2"/>
  <c r="U10" i="2"/>
  <c r="V10" i="2"/>
  <c r="T11" i="2"/>
  <c r="U11" i="2" s="1"/>
  <c r="V11" i="2"/>
  <c r="T12" i="2"/>
  <c r="U12" i="2"/>
  <c r="V12" i="2"/>
  <c r="T13" i="2"/>
  <c r="U13" i="2" s="1"/>
  <c r="V13" i="2"/>
  <c r="I3" i="2"/>
  <c r="J258" i="2" s="1"/>
  <c r="H5" i="2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B20" i="1"/>
  <c r="F258" i="2"/>
  <c r="L257" i="2"/>
  <c r="H257" i="2"/>
  <c r="L256" i="2"/>
  <c r="H256" i="2"/>
  <c r="L255" i="2"/>
  <c r="H255" i="2"/>
  <c r="L254" i="2"/>
  <c r="H254" i="2"/>
  <c r="L253" i="2"/>
  <c r="H253" i="2"/>
  <c r="L252" i="2"/>
  <c r="H252" i="2"/>
  <c r="L251" i="2"/>
  <c r="H251" i="2"/>
  <c r="L250" i="2"/>
  <c r="H250" i="2"/>
  <c r="L249" i="2"/>
  <c r="H249" i="2"/>
  <c r="L248" i="2"/>
  <c r="H248" i="2"/>
  <c r="L247" i="2"/>
  <c r="H247" i="2"/>
  <c r="L246" i="2"/>
  <c r="H246" i="2"/>
  <c r="L245" i="2"/>
  <c r="H245" i="2"/>
  <c r="L244" i="2"/>
  <c r="H244" i="2"/>
  <c r="L243" i="2"/>
  <c r="H243" i="2"/>
  <c r="L242" i="2"/>
  <c r="H242" i="2"/>
  <c r="L241" i="2"/>
  <c r="H241" i="2"/>
  <c r="L240" i="2"/>
  <c r="H240" i="2"/>
  <c r="L239" i="2"/>
  <c r="H239" i="2"/>
  <c r="L238" i="2"/>
  <c r="H238" i="2"/>
  <c r="L237" i="2"/>
  <c r="H237" i="2"/>
  <c r="L236" i="2"/>
  <c r="H236" i="2"/>
  <c r="L235" i="2"/>
  <c r="H235" i="2"/>
  <c r="L234" i="2"/>
  <c r="H234" i="2"/>
  <c r="L233" i="2"/>
  <c r="H233" i="2"/>
  <c r="L232" i="2"/>
  <c r="H232" i="2"/>
  <c r="L231" i="2"/>
  <c r="H231" i="2"/>
  <c r="L230" i="2"/>
  <c r="H230" i="2"/>
  <c r="L229" i="2"/>
  <c r="H229" i="2"/>
  <c r="L228" i="2"/>
  <c r="H228" i="2"/>
  <c r="L227" i="2"/>
  <c r="H227" i="2"/>
  <c r="L226" i="2"/>
  <c r="H226" i="2"/>
  <c r="L225" i="2"/>
  <c r="H225" i="2"/>
  <c r="L224" i="2"/>
  <c r="H224" i="2"/>
  <c r="L223" i="2"/>
  <c r="H223" i="2"/>
  <c r="L222" i="2"/>
  <c r="H222" i="2"/>
  <c r="L221" i="2"/>
  <c r="H221" i="2"/>
  <c r="L220" i="2"/>
  <c r="H220" i="2"/>
  <c r="L219" i="2"/>
  <c r="H219" i="2"/>
  <c r="L218" i="2"/>
  <c r="H218" i="2"/>
  <c r="L217" i="2"/>
  <c r="H217" i="2"/>
  <c r="L216" i="2"/>
  <c r="H216" i="2"/>
  <c r="L215" i="2"/>
  <c r="H215" i="2"/>
  <c r="L214" i="2"/>
  <c r="H214" i="2"/>
  <c r="L213" i="2"/>
  <c r="H213" i="2"/>
  <c r="L212" i="2"/>
  <c r="H212" i="2"/>
  <c r="L211" i="2"/>
  <c r="H211" i="2"/>
  <c r="L210" i="2"/>
  <c r="H210" i="2"/>
  <c r="L209" i="2"/>
  <c r="H209" i="2"/>
  <c r="L208" i="2"/>
  <c r="H208" i="2"/>
  <c r="L207" i="2"/>
  <c r="H207" i="2"/>
  <c r="L206" i="2"/>
  <c r="H206" i="2"/>
  <c r="L205" i="2"/>
  <c r="H205" i="2"/>
  <c r="L204" i="2"/>
  <c r="H204" i="2"/>
  <c r="L203" i="2"/>
  <c r="H203" i="2"/>
  <c r="L202" i="2"/>
  <c r="H202" i="2"/>
  <c r="L201" i="2"/>
  <c r="H201" i="2"/>
  <c r="L200" i="2"/>
  <c r="H200" i="2"/>
  <c r="L199" i="2"/>
  <c r="H199" i="2"/>
  <c r="L198" i="2"/>
  <c r="H198" i="2"/>
  <c r="L197" i="2"/>
  <c r="H197" i="2"/>
  <c r="L196" i="2"/>
  <c r="H196" i="2"/>
  <c r="L195" i="2"/>
  <c r="H195" i="2"/>
  <c r="L194" i="2"/>
  <c r="H194" i="2"/>
  <c r="L193" i="2"/>
  <c r="H193" i="2"/>
  <c r="L192" i="2"/>
  <c r="H192" i="2"/>
  <c r="L191" i="2"/>
  <c r="H191" i="2"/>
  <c r="L190" i="2"/>
  <c r="H190" i="2"/>
  <c r="L189" i="2"/>
  <c r="H189" i="2"/>
  <c r="L188" i="2"/>
  <c r="H188" i="2"/>
  <c r="L187" i="2"/>
  <c r="H187" i="2"/>
  <c r="L186" i="2"/>
  <c r="H186" i="2"/>
  <c r="L185" i="2"/>
  <c r="H185" i="2"/>
  <c r="L184" i="2"/>
  <c r="H184" i="2"/>
  <c r="L183" i="2"/>
  <c r="H183" i="2"/>
  <c r="L182" i="2"/>
  <c r="H182" i="2"/>
  <c r="L181" i="2"/>
  <c r="H181" i="2"/>
  <c r="L180" i="2"/>
  <c r="H180" i="2"/>
  <c r="L179" i="2"/>
  <c r="H179" i="2"/>
  <c r="L178" i="2"/>
  <c r="H178" i="2"/>
  <c r="L177" i="2"/>
  <c r="H177" i="2"/>
  <c r="L176" i="2"/>
  <c r="H176" i="2"/>
  <c r="L175" i="2"/>
  <c r="H175" i="2"/>
  <c r="L174" i="2"/>
  <c r="H174" i="2"/>
  <c r="L173" i="2"/>
  <c r="H173" i="2"/>
  <c r="L172" i="2"/>
  <c r="H172" i="2"/>
  <c r="L171" i="2"/>
  <c r="H171" i="2"/>
  <c r="L170" i="2"/>
  <c r="H170" i="2"/>
  <c r="L169" i="2"/>
  <c r="H169" i="2"/>
  <c r="L168" i="2"/>
  <c r="H168" i="2"/>
  <c r="L167" i="2"/>
  <c r="H167" i="2"/>
  <c r="L166" i="2"/>
  <c r="H166" i="2"/>
  <c r="L165" i="2"/>
  <c r="H165" i="2"/>
  <c r="L164" i="2"/>
  <c r="H164" i="2"/>
  <c r="L163" i="2"/>
  <c r="H163" i="2"/>
  <c r="L162" i="2"/>
  <c r="H162" i="2"/>
  <c r="L161" i="2"/>
  <c r="H161" i="2"/>
  <c r="L160" i="2"/>
  <c r="H160" i="2"/>
  <c r="L159" i="2"/>
  <c r="H159" i="2"/>
  <c r="L158" i="2"/>
  <c r="H158" i="2"/>
  <c r="L157" i="2"/>
  <c r="H157" i="2"/>
  <c r="L156" i="2"/>
  <c r="H156" i="2"/>
  <c r="L155" i="2"/>
  <c r="H155" i="2"/>
  <c r="L154" i="2"/>
  <c r="H154" i="2"/>
  <c r="L153" i="2"/>
  <c r="H153" i="2"/>
  <c r="L152" i="2"/>
  <c r="H152" i="2"/>
  <c r="L151" i="2"/>
  <c r="H151" i="2"/>
  <c r="L150" i="2"/>
  <c r="H150" i="2"/>
  <c r="L149" i="2"/>
  <c r="H149" i="2"/>
  <c r="L148" i="2"/>
  <c r="H148" i="2"/>
  <c r="L147" i="2"/>
  <c r="H147" i="2"/>
  <c r="L146" i="2"/>
  <c r="H146" i="2"/>
  <c r="L145" i="2"/>
  <c r="H145" i="2"/>
  <c r="L144" i="2"/>
  <c r="H144" i="2"/>
  <c r="L143" i="2"/>
  <c r="H143" i="2"/>
  <c r="L142" i="2"/>
  <c r="H142" i="2"/>
  <c r="L141" i="2"/>
  <c r="H141" i="2"/>
  <c r="L140" i="2"/>
  <c r="H140" i="2"/>
  <c r="L139" i="2"/>
  <c r="H139" i="2"/>
  <c r="L138" i="2"/>
  <c r="H138" i="2"/>
  <c r="L137" i="2"/>
  <c r="H137" i="2"/>
  <c r="L136" i="2"/>
  <c r="H136" i="2"/>
  <c r="L135" i="2"/>
  <c r="H135" i="2"/>
  <c r="L134" i="2"/>
  <c r="H134" i="2"/>
  <c r="L133" i="2"/>
  <c r="H133" i="2"/>
  <c r="L132" i="2"/>
  <c r="H132" i="2"/>
  <c r="L131" i="2"/>
  <c r="H131" i="2"/>
  <c r="J130" i="2"/>
  <c r="F130" i="2"/>
  <c r="Q12" i="2" s="1"/>
  <c r="L129" i="2"/>
  <c r="H129" i="2"/>
  <c r="L128" i="2"/>
  <c r="H128" i="2"/>
  <c r="L127" i="2"/>
  <c r="H127" i="2"/>
  <c r="L126" i="2"/>
  <c r="H126" i="2"/>
  <c r="L125" i="2"/>
  <c r="H125" i="2"/>
  <c r="L124" i="2"/>
  <c r="H124" i="2"/>
  <c r="L123" i="2"/>
  <c r="H123" i="2"/>
  <c r="L122" i="2"/>
  <c r="H122" i="2"/>
  <c r="L121" i="2"/>
  <c r="H121" i="2"/>
  <c r="L120" i="2"/>
  <c r="H120" i="2"/>
  <c r="L119" i="2"/>
  <c r="H119" i="2"/>
  <c r="L118" i="2"/>
  <c r="H118" i="2"/>
  <c r="L117" i="2"/>
  <c r="H117" i="2"/>
  <c r="L116" i="2"/>
  <c r="H116" i="2"/>
  <c r="L115" i="2"/>
  <c r="H115" i="2"/>
  <c r="L114" i="2"/>
  <c r="H114" i="2"/>
  <c r="L113" i="2"/>
  <c r="H113" i="2"/>
  <c r="L112" i="2"/>
  <c r="H112" i="2"/>
  <c r="L111" i="2"/>
  <c r="H111" i="2"/>
  <c r="L110" i="2"/>
  <c r="H110" i="2"/>
  <c r="L109" i="2"/>
  <c r="H109" i="2"/>
  <c r="L108" i="2"/>
  <c r="H108" i="2"/>
  <c r="L107" i="2"/>
  <c r="H107" i="2"/>
  <c r="L106" i="2"/>
  <c r="H106" i="2"/>
  <c r="L105" i="2"/>
  <c r="H105" i="2"/>
  <c r="L104" i="2"/>
  <c r="H104" i="2"/>
  <c r="L103" i="2"/>
  <c r="H103" i="2"/>
  <c r="L102" i="2"/>
  <c r="H102" i="2"/>
  <c r="L101" i="2"/>
  <c r="H101" i="2"/>
  <c r="L100" i="2"/>
  <c r="H100" i="2"/>
  <c r="L99" i="2"/>
  <c r="H99" i="2"/>
  <c r="L98" i="2"/>
  <c r="H98" i="2"/>
  <c r="L97" i="2"/>
  <c r="H97" i="2"/>
  <c r="L96" i="2"/>
  <c r="H96" i="2"/>
  <c r="L95" i="2"/>
  <c r="H95" i="2"/>
  <c r="L94" i="2"/>
  <c r="H94" i="2"/>
  <c r="L93" i="2"/>
  <c r="H93" i="2"/>
  <c r="L92" i="2"/>
  <c r="H92" i="2"/>
  <c r="L91" i="2"/>
  <c r="H91" i="2"/>
  <c r="L90" i="2"/>
  <c r="H90" i="2"/>
  <c r="L89" i="2"/>
  <c r="H89" i="2"/>
  <c r="L88" i="2"/>
  <c r="H88" i="2"/>
  <c r="L87" i="2"/>
  <c r="H87" i="2"/>
  <c r="L86" i="2"/>
  <c r="H86" i="2"/>
  <c r="L85" i="2"/>
  <c r="H85" i="2"/>
  <c r="L84" i="2"/>
  <c r="H84" i="2"/>
  <c r="L83" i="2"/>
  <c r="H83" i="2"/>
  <c r="L82" i="2"/>
  <c r="H82" i="2"/>
  <c r="L81" i="2"/>
  <c r="H81" i="2"/>
  <c r="L80" i="2"/>
  <c r="H80" i="2"/>
  <c r="L79" i="2"/>
  <c r="H79" i="2"/>
  <c r="L78" i="2"/>
  <c r="H78" i="2"/>
  <c r="L77" i="2"/>
  <c r="H77" i="2"/>
  <c r="L76" i="2"/>
  <c r="H76" i="2"/>
  <c r="L75" i="2"/>
  <c r="H75" i="2"/>
  <c r="L74" i="2"/>
  <c r="H74" i="2"/>
  <c r="L73" i="2"/>
  <c r="H73" i="2"/>
  <c r="L72" i="2"/>
  <c r="H72" i="2"/>
  <c r="L71" i="2"/>
  <c r="H71" i="2"/>
  <c r="L70" i="2"/>
  <c r="H70" i="2"/>
  <c r="L69" i="2"/>
  <c r="H69" i="2"/>
  <c r="L68" i="2"/>
  <c r="H68" i="2"/>
  <c r="L67" i="2"/>
  <c r="H67" i="2"/>
  <c r="F66" i="2"/>
  <c r="L65" i="2"/>
  <c r="H65" i="2"/>
  <c r="L64" i="2"/>
  <c r="H64" i="2"/>
  <c r="L63" i="2"/>
  <c r="H63" i="2"/>
  <c r="L62" i="2"/>
  <c r="H62" i="2"/>
  <c r="L61" i="2"/>
  <c r="H61" i="2"/>
  <c r="L60" i="2"/>
  <c r="H60" i="2"/>
  <c r="L59" i="2"/>
  <c r="H59" i="2"/>
  <c r="L58" i="2"/>
  <c r="H58" i="2"/>
  <c r="L57" i="2"/>
  <c r="H57" i="2"/>
  <c r="L56" i="2"/>
  <c r="H56" i="2"/>
  <c r="L55" i="2"/>
  <c r="H55" i="2"/>
  <c r="L54" i="2"/>
  <c r="H54" i="2"/>
  <c r="L53" i="2"/>
  <c r="H53" i="2"/>
  <c r="L52" i="2"/>
  <c r="H52" i="2"/>
  <c r="L51" i="2"/>
  <c r="H51" i="2"/>
  <c r="L50" i="2"/>
  <c r="H50" i="2"/>
  <c r="L49" i="2"/>
  <c r="H49" i="2"/>
  <c r="L48" i="2"/>
  <c r="H48" i="2"/>
  <c r="L47" i="2"/>
  <c r="H47" i="2"/>
  <c r="L46" i="2"/>
  <c r="H46" i="2"/>
  <c r="L45" i="2"/>
  <c r="H45" i="2"/>
  <c r="L44" i="2"/>
  <c r="H44" i="2"/>
  <c r="L43" i="2"/>
  <c r="H43" i="2"/>
  <c r="L42" i="2"/>
  <c r="H42" i="2"/>
  <c r="L41" i="2"/>
  <c r="H41" i="2"/>
  <c r="L40" i="2"/>
  <c r="H40" i="2"/>
  <c r="L39" i="2"/>
  <c r="H39" i="2"/>
  <c r="L38" i="2"/>
  <c r="H38" i="2"/>
  <c r="L37" i="2"/>
  <c r="H37" i="2"/>
  <c r="L36" i="2"/>
  <c r="H36" i="2"/>
  <c r="L35" i="2"/>
  <c r="H35" i="2"/>
  <c r="F34" i="2"/>
  <c r="Q10" i="2" s="1"/>
  <c r="L33" i="2"/>
  <c r="H33" i="2"/>
  <c r="L32" i="2"/>
  <c r="H32" i="2"/>
  <c r="L31" i="2"/>
  <c r="H31" i="2"/>
  <c r="L30" i="2"/>
  <c r="H30" i="2"/>
  <c r="L29" i="2"/>
  <c r="H29" i="2"/>
  <c r="L28" i="2"/>
  <c r="H28" i="2"/>
  <c r="L27" i="2"/>
  <c r="H27" i="2"/>
  <c r="L26" i="2"/>
  <c r="H26" i="2"/>
  <c r="L25" i="2"/>
  <c r="H25" i="2"/>
  <c r="L24" i="2"/>
  <c r="H24" i="2"/>
  <c r="C24" i="2"/>
  <c r="L23" i="2"/>
  <c r="H23" i="2"/>
  <c r="C23" i="2"/>
  <c r="L22" i="2"/>
  <c r="H22" i="2"/>
  <c r="C22" i="2"/>
  <c r="L21" i="2"/>
  <c r="H21" i="2"/>
  <c r="C21" i="2"/>
  <c r="L20" i="2"/>
  <c r="H20" i="2"/>
  <c r="C20" i="2"/>
  <c r="L19" i="2"/>
  <c r="H19" i="2"/>
  <c r="C19" i="2"/>
  <c r="F18" i="2"/>
  <c r="Q9" i="2" s="1"/>
  <c r="C18" i="2"/>
  <c r="L17" i="2"/>
  <c r="H17" i="2"/>
  <c r="C17" i="2"/>
  <c r="L16" i="2"/>
  <c r="H16" i="2"/>
  <c r="C16" i="2"/>
  <c r="L15" i="2"/>
  <c r="H15" i="2"/>
  <c r="C15" i="2"/>
  <c r="L14" i="2"/>
  <c r="H14" i="2"/>
  <c r="C14" i="2"/>
  <c r="Z13" i="2"/>
  <c r="Q13" i="2"/>
  <c r="L13" i="2"/>
  <c r="H13" i="2"/>
  <c r="C13" i="2"/>
  <c r="L12" i="2"/>
  <c r="H12" i="2"/>
  <c r="C12" i="2"/>
  <c r="Q11" i="2"/>
  <c r="O11" i="2"/>
  <c r="L11" i="2"/>
  <c r="H11" i="2"/>
  <c r="C11" i="2"/>
  <c r="Z10" i="2"/>
  <c r="F10" i="2"/>
  <c r="C10" i="2"/>
  <c r="Z9" i="2"/>
  <c r="L9" i="2"/>
  <c r="H9" i="2"/>
  <c r="C9" i="2"/>
  <c r="Q8" i="2"/>
  <c r="O8" i="2"/>
  <c r="L8" i="2"/>
  <c r="H8" i="2"/>
  <c r="C8" i="2"/>
  <c r="L7" i="2"/>
  <c r="H7" i="2"/>
  <c r="C7" i="2"/>
  <c r="F6" i="2"/>
  <c r="Q7" i="2" s="1"/>
  <c r="C6" i="2"/>
  <c r="Z5" i="2"/>
  <c r="O5" i="2"/>
  <c r="L5" i="2"/>
  <c r="C5" i="2"/>
  <c r="Z4" i="2"/>
  <c r="Z7" i="2" s="1"/>
  <c r="O4" i="2"/>
  <c r="O12" i="2" s="1"/>
  <c r="F4" i="2"/>
  <c r="Q6" i="2" s="1"/>
  <c r="C4" i="2"/>
  <c r="L3" i="2"/>
  <c r="J18" i="2"/>
  <c r="AB9" i="2" s="1"/>
  <c r="F3" i="2"/>
  <c r="H3" i="2" s="1"/>
  <c r="C3" i="2"/>
  <c r="C30" i="1"/>
  <c r="C29" i="1"/>
  <c r="C28" i="1"/>
  <c r="C34" i="1" s="1"/>
  <c r="C25" i="1"/>
  <c r="B24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1" i="1"/>
  <c r="O6" i="2" l="1"/>
  <c r="Z11" i="2"/>
  <c r="AA11" i="2" s="1"/>
  <c r="K66" i="2" s="1"/>
  <c r="Z6" i="2"/>
  <c r="AA6" i="2" s="1"/>
  <c r="O9" i="2"/>
  <c r="O10" i="2"/>
  <c r="Z12" i="2"/>
  <c r="AA12" i="2" s="1"/>
  <c r="K130" i="2" s="1"/>
  <c r="L130" i="2" s="1"/>
  <c r="AB12" i="2"/>
  <c r="O7" i="2"/>
  <c r="P7" i="2" s="1"/>
  <c r="G6" i="2" s="1"/>
  <c r="H6" i="2" s="1"/>
  <c r="AA7" i="2"/>
  <c r="K6" i="2" s="1"/>
  <c r="AB13" i="2"/>
  <c r="J66" i="2"/>
  <c r="J10" i="2"/>
  <c r="J6" i="2"/>
  <c r="D34" i="1"/>
  <c r="AG24" i="1" s="1"/>
  <c r="P12" i="2"/>
  <c r="G130" i="2" s="1"/>
  <c r="H130" i="2" s="1"/>
  <c r="P11" i="2"/>
  <c r="G66" i="2" s="1"/>
  <c r="H66" i="2" s="1"/>
  <c r="AA13" i="2"/>
  <c r="K258" i="2" s="1"/>
  <c r="L258" i="2" s="1"/>
  <c r="P9" i="2"/>
  <c r="G18" i="2" s="1"/>
  <c r="H18" i="2" s="1"/>
  <c r="C31" i="1"/>
  <c r="D31" i="1" s="1"/>
  <c r="E24" i="1" s="1"/>
  <c r="C32" i="1"/>
  <c r="J4" i="2"/>
  <c r="AB6" i="2" s="1"/>
  <c r="P8" i="2"/>
  <c r="G10" i="2" s="1"/>
  <c r="H10" i="2" s="1"/>
  <c r="D30" i="1"/>
  <c r="D32" i="1"/>
  <c r="I24" i="1" s="1"/>
  <c r="C23" i="1"/>
  <c r="C33" i="1"/>
  <c r="D33" i="1" s="1"/>
  <c r="Q24" i="1" s="1"/>
  <c r="J34" i="2"/>
  <c r="AA9" i="2"/>
  <c r="K18" i="2" s="1"/>
  <c r="L18" i="2" s="1"/>
  <c r="AA10" i="2"/>
  <c r="K34" i="2" s="1"/>
  <c r="O13" i="2"/>
  <c r="P13" i="2" s="1"/>
  <c r="G258" i="2" s="1"/>
  <c r="H258" i="2" s="1"/>
  <c r="G4" i="2"/>
  <c r="H4" i="2" s="1"/>
  <c r="K4" i="2"/>
  <c r="Z8" i="2"/>
  <c r="P6" i="2"/>
  <c r="AA8" i="2"/>
  <c r="K10" i="2" s="1"/>
  <c r="D4" i="2"/>
  <c r="C24" i="1"/>
  <c r="L66" i="2" l="1"/>
  <c r="AB11" i="2"/>
  <c r="L34" i="2"/>
  <c r="AB10" i="2"/>
  <c r="L10" i="2"/>
  <c r="AB8" i="2"/>
  <c r="P10" i="2"/>
  <c r="G34" i="2" s="1"/>
  <c r="H34" i="2" s="1"/>
  <c r="L6" i="2"/>
  <c r="AB7" i="2"/>
  <c r="L4" i="2"/>
</calcChain>
</file>

<file path=xl/sharedStrings.xml><?xml version="1.0" encoding="utf-8"?>
<sst xmlns="http://schemas.openxmlformats.org/spreadsheetml/2006/main" count="341" uniqueCount="304">
  <si>
    <t>Greitis (ms)</t>
  </si>
  <si>
    <t xml:space="preserve"> Masyvo dydis      </t>
  </si>
  <si>
    <t>1 gija</t>
  </si>
  <si>
    <t>2 gijos</t>
  </si>
  <si>
    <t>3 gijos</t>
  </si>
  <si>
    <t>4 gijos</t>
  </si>
  <si>
    <t>6 gijos</t>
  </si>
  <si>
    <t>8 gijos</t>
  </si>
  <si>
    <t>16 gijų</t>
  </si>
  <si>
    <t>32 gijos</t>
  </si>
  <si>
    <t>2^14 (16384)</t>
  </si>
  <si>
    <t>2^15 (32768)</t>
  </si>
  <si>
    <t xml:space="preserve">2^16 (65536)      </t>
  </si>
  <si>
    <t xml:space="preserve">2^17 (131072)     </t>
  </si>
  <si>
    <t xml:space="preserve">2^18 (262144)     </t>
  </si>
  <si>
    <t xml:space="preserve">2^19 (524288)     </t>
  </si>
  <si>
    <t xml:space="preserve">2^20 (1048576)    </t>
  </si>
  <si>
    <t xml:space="preserve">2^21 (2097152)    </t>
  </si>
  <si>
    <t xml:space="preserve">2^22 (4194304)    </t>
  </si>
  <si>
    <t xml:space="preserve">2^23 (8388608)    </t>
  </si>
  <si>
    <t xml:space="preserve">2^24 (16777216)   </t>
  </si>
  <si>
    <t xml:space="preserve">2^25 (33554432)   </t>
  </si>
  <si>
    <t>Pokytis nuo 1 gijos (%)</t>
  </si>
  <si>
    <t>duomenų kiekis / gijos</t>
  </si>
  <si>
    <t>Realus spartėjimas</t>
  </si>
  <si>
    <t>tparallel</t>
  </si>
  <si>
    <t>Teorinis spartėjimas</t>
  </si>
  <si>
    <t>tserial (sequantial time (T1)</t>
  </si>
  <si>
    <t>n</t>
  </si>
  <si>
    <t>tparalel 2</t>
  </si>
  <si>
    <t>tparalel 4</t>
  </si>
  <si>
    <t>spartinimas 8iems</t>
  </si>
  <si>
    <t>spartinimas 16iems</t>
  </si>
  <si>
    <t>spartinimas 32iems</t>
  </si>
  <si>
    <t>duomenų kiekis / greitis (ms)</t>
  </si>
  <si>
    <t>Realus spartėjimas 2^15</t>
  </si>
  <si>
    <t>Teorinis spartėjimas 2^15</t>
  </si>
  <si>
    <t>2^25 (33554432)</t>
  </si>
  <si>
    <t>Realus spartėjimas 2^25</t>
  </si>
  <si>
    <t>Teorinis spartėjimas 2^25</t>
  </si>
  <si>
    <t>Skirtumas 2^25</t>
  </si>
  <si>
    <t>2^30 (1073741824)</t>
  </si>
  <si>
    <t>Realus spartėjimas 2^30</t>
  </si>
  <si>
    <t>Teorinis spartėjimas 2^30</t>
  </si>
  <si>
    <t>Skirtumas 2^30</t>
  </si>
  <si>
    <t>1 gijos</t>
  </si>
  <si>
    <t>2^25</t>
  </si>
  <si>
    <t>2^15</t>
  </si>
  <si>
    <t>2^30</t>
  </si>
  <si>
    <t>5 gijos</t>
  </si>
  <si>
    <t>7 gijos</t>
  </si>
  <si>
    <t>9 gijos</t>
  </si>
  <si>
    <t>spartinimas 64iems</t>
  </si>
  <si>
    <t>10 gijos</t>
  </si>
  <si>
    <t>spartinimas 128iems</t>
  </si>
  <si>
    <t>11 gijos</t>
  </si>
  <si>
    <t>spartinimas 256iems</t>
  </si>
  <si>
    <t>12 gijos</t>
  </si>
  <si>
    <t>13 gijos</t>
  </si>
  <si>
    <t>aprašymą pakoreguoti, nes yra iš 3, o reik iš 4</t>
  </si>
  <si>
    <t>14 gijos</t>
  </si>
  <si>
    <t>ka konkretu metu veikia kiekvienas procesas</t>
  </si>
  <si>
    <t>15 gijos</t>
  </si>
  <si>
    <t>su ivairesniais budais isanalizuoti greiti su skirtingas proc kiekiais</t>
  </si>
  <si>
    <t>16 gijos</t>
  </si>
  <si>
    <t>17 gijos</t>
  </si>
  <si>
    <t>18 gijos</t>
  </si>
  <si>
    <t>19 gijos</t>
  </si>
  <si>
    <t>20 gijos</t>
  </si>
  <si>
    <t>21 gijos</t>
  </si>
  <si>
    <t>22 gijos</t>
  </si>
  <si>
    <t>23 gijos</t>
  </si>
  <si>
    <t>24 gijos</t>
  </si>
  <si>
    <t>25 gijos</t>
  </si>
  <si>
    <t>26 gijos</t>
  </si>
  <si>
    <t>27 gijos</t>
  </si>
  <si>
    <t>28 gijos</t>
  </si>
  <si>
    <t>29 gijos</t>
  </si>
  <si>
    <t>30 gijos</t>
  </si>
  <si>
    <t>31 gijos</t>
  </si>
  <si>
    <t>33 gijos</t>
  </si>
  <si>
    <t>34 gijos</t>
  </si>
  <si>
    <t>35 gijos</t>
  </si>
  <si>
    <t>36 gijos</t>
  </si>
  <si>
    <t>37 gijos</t>
  </si>
  <si>
    <t>38 gijos</t>
  </si>
  <si>
    <t>39 gijos</t>
  </si>
  <si>
    <t>40 gijos</t>
  </si>
  <si>
    <t>41 gijos</t>
  </si>
  <si>
    <t>42 gijos</t>
  </si>
  <si>
    <t>43 gijos</t>
  </si>
  <si>
    <t>44 gijos</t>
  </si>
  <si>
    <t>45 gijos</t>
  </si>
  <si>
    <t>46 gijos</t>
  </si>
  <si>
    <t>47 gijos</t>
  </si>
  <si>
    <t>48 gijos</t>
  </si>
  <si>
    <t>49 gijos</t>
  </si>
  <si>
    <t>50 gijos</t>
  </si>
  <si>
    <t>51 gijos</t>
  </si>
  <si>
    <t>52 gijos</t>
  </si>
  <si>
    <t>53 gijos</t>
  </si>
  <si>
    <t>54 gijos</t>
  </si>
  <si>
    <t>55 gijos</t>
  </si>
  <si>
    <t>56 gijos</t>
  </si>
  <si>
    <t>57 gijos</t>
  </si>
  <si>
    <t>58 gijos</t>
  </si>
  <si>
    <t>59 gijos</t>
  </si>
  <si>
    <t>60 gijos</t>
  </si>
  <si>
    <t>61 gijos</t>
  </si>
  <si>
    <t>62 gijos</t>
  </si>
  <si>
    <t>63 gijos</t>
  </si>
  <si>
    <t>64 gijos</t>
  </si>
  <si>
    <t>65 gijos</t>
  </si>
  <si>
    <t>66 gijos</t>
  </si>
  <si>
    <t>67 gijos</t>
  </si>
  <si>
    <t>68 gijos</t>
  </si>
  <si>
    <t>69 gijos</t>
  </si>
  <si>
    <t>70 gijos</t>
  </si>
  <si>
    <t>71 gijos</t>
  </si>
  <si>
    <t>72 gijos</t>
  </si>
  <si>
    <t>73 gijos</t>
  </si>
  <si>
    <t>74 gijos</t>
  </si>
  <si>
    <t>75 gijos</t>
  </si>
  <si>
    <t>76 gijos</t>
  </si>
  <si>
    <t>77 gijos</t>
  </si>
  <si>
    <t>78 gijos</t>
  </si>
  <si>
    <t>79 gijos</t>
  </si>
  <si>
    <t>80 gijos</t>
  </si>
  <si>
    <t>81 gijos</t>
  </si>
  <si>
    <t>82 gijos</t>
  </si>
  <si>
    <t>83 gijos</t>
  </si>
  <si>
    <t>84 gijos</t>
  </si>
  <si>
    <t>85 gijos</t>
  </si>
  <si>
    <t>86 gijos</t>
  </si>
  <si>
    <t>87 gijos</t>
  </si>
  <si>
    <t>88 gijos</t>
  </si>
  <si>
    <t>89 gijos</t>
  </si>
  <si>
    <t>90 gijos</t>
  </si>
  <si>
    <t>91 gijos</t>
  </si>
  <si>
    <t>92 gijos</t>
  </si>
  <si>
    <t>93 gijos</t>
  </si>
  <si>
    <t>94 gijos</t>
  </si>
  <si>
    <t>95 gijos</t>
  </si>
  <si>
    <t>96 gijos</t>
  </si>
  <si>
    <t>97 gijos</t>
  </si>
  <si>
    <t>98 gijos</t>
  </si>
  <si>
    <t>99 gijos</t>
  </si>
  <si>
    <t>100 gijos</t>
  </si>
  <si>
    <t>101 gijos</t>
  </si>
  <si>
    <t>102 gijos</t>
  </si>
  <si>
    <t>103 gijos</t>
  </si>
  <si>
    <t>104 gijos</t>
  </si>
  <si>
    <t>105 gijos</t>
  </si>
  <si>
    <t>106 gijos</t>
  </si>
  <si>
    <t>107 gijos</t>
  </si>
  <si>
    <t>108 gijos</t>
  </si>
  <si>
    <t>109 gijos</t>
  </si>
  <si>
    <t>110 gijos</t>
  </si>
  <si>
    <t>111 gijos</t>
  </si>
  <si>
    <t>112 gijos</t>
  </si>
  <si>
    <t>113 gijos</t>
  </si>
  <si>
    <t>114 gijos</t>
  </si>
  <si>
    <t>115 gijos</t>
  </si>
  <si>
    <t>116 gijos</t>
  </si>
  <si>
    <t>117 gijos</t>
  </si>
  <si>
    <t>118 gijos</t>
  </si>
  <si>
    <t>119 gijos</t>
  </si>
  <si>
    <t>120 gijos</t>
  </si>
  <si>
    <t>121 gijos</t>
  </si>
  <si>
    <t>122 gijos</t>
  </si>
  <si>
    <t>123 gijos</t>
  </si>
  <si>
    <t>124 gijos</t>
  </si>
  <si>
    <t>125 gijos</t>
  </si>
  <si>
    <t>126 gijos</t>
  </si>
  <si>
    <t>127 gijos</t>
  </si>
  <si>
    <t>128 gijos</t>
  </si>
  <si>
    <t>129 gijos</t>
  </si>
  <si>
    <t>130 gijos</t>
  </si>
  <si>
    <t>131 gijos</t>
  </si>
  <si>
    <t>132 gijos</t>
  </si>
  <si>
    <t>133 gijos</t>
  </si>
  <si>
    <t>134 gijos</t>
  </si>
  <si>
    <t>135 gijos</t>
  </si>
  <si>
    <t>136 gijos</t>
  </si>
  <si>
    <t>137 gijos</t>
  </si>
  <si>
    <t>138 gijos</t>
  </si>
  <si>
    <t>139 gijos</t>
  </si>
  <si>
    <t>140 gijos</t>
  </si>
  <si>
    <t>141 gijos</t>
  </si>
  <si>
    <t>142 gijos</t>
  </si>
  <si>
    <t>143 gijos</t>
  </si>
  <si>
    <t>144 gijos</t>
  </si>
  <si>
    <t>145 gijos</t>
  </si>
  <si>
    <t>146 gijos</t>
  </si>
  <si>
    <t>147 gijos</t>
  </si>
  <si>
    <t>148 gijos</t>
  </si>
  <si>
    <t>149 gijos</t>
  </si>
  <si>
    <t>150 gijos</t>
  </si>
  <si>
    <t>151 gijos</t>
  </si>
  <si>
    <t>152 gijos</t>
  </si>
  <si>
    <t>153 gijos</t>
  </si>
  <si>
    <t>154 gijos</t>
  </si>
  <si>
    <t>155 gijos</t>
  </si>
  <si>
    <t>156 gijos</t>
  </si>
  <si>
    <t>157 gijos</t>
  </si>
  <si>
    <t>158 gijos</t>
  </si>
  <si>
    <t>159 gijos</t>
  </si>
  <si>
    <t>160 gijos</t>
  </si>
  <si>
    <t>161 gijos</t>
  </si>
  <si>
    <t>162 gijos</t>
  </si>
  <si>
    <t>163 gijos</t>
  </si>
  <si>
    <t>164 gijos</t>
  </si>
  <si>
    <t>165 gijos</t>
  </si>
  <si>
    <t>166 gijos</t>
  </si>
  <si>
    <t>167 gijos</t>
  </si>
  <si>
    <t>168 gijos</t>
  </si>
  <si>
    <t>169 gijos</t>
  </si>
  <si>
    <t>170 gijos</t>
  </si>
  <si>
    <t>171 gijos</t>
  </si>
  <si>
    <t>172 gijos</t>
  </si>
  <si>
    <t>173 gijos</t>
  </si>
  <si>
    <t>174 gijos</t>
  </si>
  <si>
    <t>175 gijos</t>
  </si>
  <si>
    <t>176 gijos</t>
  </si>
  <si>
    <t>177 gijos</t>
  </si>
  <si>
    <t>178 gijos</t>
  </si>
  <si>
    <t>179 gijos</t>
  </si>
  <si>
    <t>180 gijos</t>
  </si>
  <si>
    <t>181 gijos</t>
  </si>
  <si>
    <t>182 gijos</t>
  </si>
  <si>
    <t>183 gijos</t>
  </si>
  <si>
    <t>184 gijos</t>
  </si>
  <si>
    <t>185 gijos</t>
  </si>
  <si>
    <t>186 gijos</t>
  </si>
  <si>
    <t>187 gijos</t>
  </si>
  <si>
    <t>188 gijos</t>
  </si>
  <si>
    <t>189 gijos</t>
  </si>
  <si>
    <t>190 gijos</t>
  </si>
  <si>
    <t>191 gijos</t>
  </si>
  <si>
    <t>192 gijos</t>
  </si>
  <si>
    <t>193 gijos</t>
  </si>
  <si>
    <t>194 gijos</t>
  </si>
  <si>
    <t>195 gijos</t>
  </si>
  <si>
    <t>196 gijos</t>
  </si>
  <si>
    <t>197 gijos</t>
  </si>
  <si>
    <t>198 gijos</t>
  </si>
  <si>
    <t>199 gijos</t>
  </si>
  <si>
    <t>200 gijos</t>
  </si>
  <si>
    <t>201 gijos</t>
  </si>
  <si>
    <t>202 gijos</t>
  </si>
  <si>
    <t>203 gijos</t>
  </si>
  <si>
    <t>204 gijos</t>
  </si>
  <si>
    <t>205 gijos</t>
  </si>
  <si>
    <t>206 gijos</t>
  </si>
  <si>
    <t>207 gijos</t>
  </si>
  <si>
    <t>208 gijos</t>
  </si>
  <si>
    <t>209 gijos</t>
  </si>
  <si>
    <t>210 gijos</t>
  </si>
  <si>
    <t>211 gijos</t>
  </si>
  <si>
    <t>212 gijos</t>
  </si>
  <si>
    <t>213 gijos</t>
  </si>
  <si>
    <t>214 gijos</t>
  </si>
  <si>
    <t>215 gijos</t>
  </si>
  <si>
    <t>216 gijos</t>
  </si>
  <si>
    <t>217 gijos</t>
  </si>
  <si>
    <t>218 gijos</t>
  </si>
  <si>
    <t>219 gijos</t>
  </si>
  <si>
    <t>220 gijos</t>
  </si>
  <si>
    <t>221 gijos</t>
  </si>
  <si>
    <t>222 gijos</t>
  </si>
  <si>
    <t>223 gijos</t>
  </si>
  <si>
    <t>224 gijos</t>
  </si>
  <si>
    <t>225 gijos</t>
  </si>
  <si>
    <t>226 gijos</t>
  </si>
  <si>
    <t>227 gijos</t>
  </si>
  <si>
    <t>228 gijos</t>
  </si>
  <si>
    <t>229 gijos</t>
  </si>
  <si>
    <t>230 gijos</t>
  </si>
  <si>
    <t>231 gijos</t>
  </si>
  <si>
    <t>232 gijos</t>
  </si>
  <si>
    <t>233 gijos</t>
  </si>
  <si>
    <t>234 gijos</t>
  </si>
  <si>
    <t>235 gijos</t>
  </si>
  <si>
    <t>236 gijos</t>
  </si>
  <si>
    <t>237 gijos</t>
  </si>
  <si>
    <t>238 gijos</t>
  </si>
  <si>
    <t>239 gijos</t>
  </si>
  <si>
    <t>240 gijos</t>
  </si>
  <si>
    <t>241 gijos</t>
  </si>
  <si>
    <t>242 gijos</t>
  </si>
  <si>
    <t>243 gijos</t>
  </si>
  <si>
    <t>244 gijos</t>
  </si>
  <si>
    <t>245 gijos</t>
  </si>
  <si>
    <t>246 gijos</t>
  </si>
  <si>
    <t>247 gijos</t>
  </si>
  <si>
    <t>248 gijos</t>
  </si>
  <si>
    <t>249 gijos</t>
  </si>
  <si>
    <t>250 gijos</t>
  </si>
  <si>
    <t>251 gijos</t>
  </si>
  <si>
    <t>252 gijos</t>
  </si>
  <si>
    <t>253 gijos</t>
  </si>
  <si>
    <t>254 gijos</t>
  </si>
  <si>
    <t>255 gijos</t>
  </si>
  <si>
    <t>256 gijos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</si>
</sst>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3" fillId="0" borderId="0" xfId="0" applyFont="1"/>
    <xf numFmtId="0" fontId="4" fillId="0" borderId="7" xfId="0" applyFont="1" applyBorder="1"/>
    <xf numFmtId="0" fontId="1" fillId="2" borderId="8" xfId="0" applyFont="1" applyFill="1" applyBorder="1"/>
    <xf numFmtId="0" fontId="4" fillId="0" borderId="9" xfId="0" applyFont="1" applyBorder="1"/>
    <xf numFmtId="0" fontId="4" fillId="0" borderId="10" xfId="0" applyFont="1" applyBorder="1"/>
    <xf numFmtId="0" fontId="1" fillId="2" borderId="4" xfId="0" applyFont="1" applyFill="1" applyBorder="1" applyAlignment="1">
      <alignment horizontal="center"/>
    </xf>
    <xf numFmtId="0" fontId="3" fillId="0" borderId="9" xfId="0" applyFont="1" applyBorder="1"/>
    <xf numFmtId="4" fontId="4" fillId="0" borderId="9" xfId="0" applyNumberFormat="1" applyFont="1" applyBorder="1"/>
    <xf numFmtId="4" fontId="4" fillId="0" borderId="10" xfId="0" applyNumberFormat="1" applyFont="1" applyBorder="1"/>
    <xf numFmtId="4" fontId="3" fillId="0" borderId="9" xfId="0" applyNumberFormat="1" applyFont="1" applyBorder="1"/>
    <xf numFmtId="1" fontId="3" fillId="0" borderId="0" xfId="0" applyNumberFormat="1" applyFont="1"/>
    <xf numFmtId="0" fontId="5" fillId="0" borderId="0" xfId="0" applyFont="1"/>
    <xf numFmtId="2" fontId="5" fillId="0" borderId="0" xfId="0" applyNumberFormat="1" applyFont="1"/>
    <xf numFmtId="2" fontId="5" fillId="0" borderId="11" xfId="0" applyNumberFormat="1" applyFont="1" applyBorder="1"/>
    <xf numFmtId="0" fontId="3" fillId="0" borderId="11" xfId="0" applyFont="1" applyBorder="1"/>
    <xf numFmtId="2" fontId="3" fillId="0" borderId="0" xfId="0" applyNumberFormat="1" applyFont="1"/>
    <xf numFmtId="2" fontId="3" fillId="0" borderId="11" xfId="0" applyNumberFormat="1" applyFont="1" applyBorder="1"/>
    <xf numFmtId="0" fontId="4" fillId="0" borderId="0" xfId="0" applyFont="1"/>
    <xf numFmtId="0" fontId="4" fillId="0" borderId="0" xfId="0" applyFont="1" applyAlignment="1">
      <alignment horizontal="right"/>
    </xf>
    <xf numFmtId="2" fontId="4" fillId="0" borderId="0" xfId="0" applyNumberFormat="1" applyFont="1" applyAlignment="1">
      <alignment horizontal="right"/>
    </xf>
    <xf numFmtId="2" fontId="3" fillId="0" borderId="12" xfId="0" applyNumberFormat="1" applyFont="1" applyBorder="1"/>
    <xf numFmtId="2" fontId="3" fillId="0" borderId="13" xfId="0" applyNumberFormat="1" applyFont="1" applyBorder="1"/>
    <xf numFmtId="0" fontId="0" fillId="0" borderId="13" xfId="0" applyBorder="1"/>
    <xf numFmtId="2" fontId="5" fillId="0" borderId="13" xfId="0" applyNumberFormat="1" applyFont="1" applyBorder="1"/>
    <xf numFmtId="2" fontId="0" fillId="0" borderId="0" xfId="0" applyNumberForma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'lab3'!$A$24</c:f>
              <c:strCache>
                <c:ptCount val="1"/>
                <c:pt idx="0">
                  <c:v>Teorinis spartėjimas</c:v>
                </c:pt>
              </c:strCache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lt-L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name>Tendencija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'lab3'!$B$20:$AG$20</c:f>
              <c:strCache>
                <c:ptCount val="32"/>
                <c:pt idx="0">
                  <c:v>1 gijos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5 gijos</c:v>
                </c:pt>
                <c:pt idx="5">
                  <c:v>6 gijos</c:v>
                </c:pt>
                <c:pt idx="6">
                  <c:v>7 gijos</c:v>
                </c:pt>
                <c:pt idx="7">
                  <c:v>8 gijos</c:v>
                </c:pt>
                <c:pt idx="8">
                  <c:v>9 gijos</c:v>
                </c:pt>
                <c:pt idx="9">
                  <c:v>10 gijos</c:v>
                </c:pt>
                <c:pt idx="10">
                  <c:v>11 gijos</c:v>
                </c:pt>
                <c:pt idx="11">
                  <c:v>12 gijos</c:v>
                </c:pt>
                <c:pt idx="12">
                  <c:v>13 gijos</c:v>
                </c:pt>
                <c:pt idx="13">
                  <c:v>14 gijos</c:v>
                </c:pt>
                <c:pt idx="14">
                  <c:v>15 gijos</c:v>
                </c:pt>
                <c:pt idx="15">
                  <c:v>16 gijos</c:v>
                </c:pt>
                <c:pt idx="16">
                  <c:v>17 gijos</c:v>
                </c:pt>
                <c:pt idx="17">
                  <c:v>18 gijos</c:v>
                </c:pt>
                <c:pt idx="18">
                  <c:v>19 gijos</c:v>
                </c:pt>
                <c:pt idx="19">
                  <c:v>20 gijos</c:v>
                </c:pt>
                <c:pt idx="20">
                  <c:v>21 gijos</c:v>
                </c:pt>
                <c:pt idx="21">
                  <c:v>22 gijos</c:v>
                </c:pt>
                <c:pt idx="22">
                  <c:v>23 gijos</c:v>
                </c:pt>
                <c:pt idx="23">
                  <c:v>24 gijos</c:v>
                </c:pt>
                <c:pt idx="24">
                  <c:v>25 gijos</c:v>
                </c:pt>
                <c:pt idx="25">
                  <c:v>26 gijos</c:v>
                </c:pt>
                <c:pt idx="26">
                  <c:v>27 gijos</c:v>
                </c:pt>
                <c:pt idx="27">
                  <c:v>28 gijos</c:v>
                </c:pt>
                <c:pt idx="28">
                  <c:v>29 gijos</c:v>
                </c:pt>
                <c:pt idx="29">
                  <c:v>30 gijos</c:v>
                </c:pt>
                <c:pt idx="30">
                  <c:v>31 gijos</c:v>
                </c:pt>
                <c:pt idx="31">
                  <c:v>32 gijos</c:v>
                </c:pt>
              </c:strCache>
            </c:strRef>
          </c:cat>
          <c:val>
            <c:numRef>
              <c:f>'lab3'!$B$24:$AG$24</c:f>
              <c:numCache>
                <c:formatCode>#,##0.00</c:formatCode>
                <c:ptCount val="32"/>
                <c:pt idx="0">
                  <c:v>1</c:v>
                </c:pt>
                <c:pt idx="1">
                  <c:v>1.9230769230769231</c:v>
                </c:pt>
                <c:pt idx="3">
                  <c:v>3.4482758620689653</c:v>
                </c:pt>
                <c:pt idx="7">
                  <c:v>5.5555555555555554</c:v>
                </c:pt>
                <c:pt idx="15">
                  <c:v>7.8431372549019605</c:v>
                </c:pt>
                <c:pt idx="31">
                  <c:v>9.7560975609756095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C5-45DC-920A-3AA3AB9ACEF9}"/>
            </c:ext>
          </c:extLst>
        </c:ser>
        <c:ser>
          <c:idx val="1"/>
          <c:order val="1"/>
          <c:tx>
            <c:strRef>
              <c:f>'lab3'!$A$23</c:f>
              <c:strCache>
                <c:ptCount val="1"/>
                <c:pt idx="0">
                  <c:v>tparallel</c:v>
                </c:pt>
              </c:strCache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circle"/>
            <c:size val="10"/>
            <c:spPr>
              <a:solidFill>
                <a:srgbClr val="ED7D31"/>
              </a:solidFill>
              <a:ln cmpd="sng">
                <a:solidFill>
                  <a:srgbClr val="ED7D31"/>
                </a:solidFill>
              </a:ln>
            </c:spPr>
          </c:marker>
          <c:trendline>
            <c:name>Tendencija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'lab3'!$B$20:$AG$20</c:f>
              <c:strCache>
                <c:ptCount val="32"/>
                <c:pt idx="0">
                  <c:v>1 gijos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5 gijos</c:v>
                </c:pt>
                <c:pt idx="5">
                  <c:v>6 gijos</c:v>
                </c:pt>
                <c:pt idx="6">
                  <c:v>7 gijos</c:v>
                </c:pt>
                <c:pt idx="7">
                  <c:v>8 gijos</c:v>
                </c:pt>
                <c:pt idx="8">
                  <c:v>9 gijos</c:v>
                </c:pt>
                <c:pt idx="9">
                  <c:v>10 gijos</c:v>
                </c:pt>
                <c:pt idx="10">
                  <c:v>11 gijos</c:v>
                </c:pt>
                <c:pt idx="11">
                  <c:v>12 gijos</c:v>
                </c:pt>
                <c:pt idx="12">
                  <c:v>13 gijos</c:v>
                </c:pt>
                <c:pt idx="13">
                  <c:v>14 gijos</c:v>
                </c:pt>
                <c:pt idx="14">
                  <c:v>15 gijos</c:v>
                </c:pt>
                <c:pt idx="15">
                  <c:v>16 gijos</c:v>
                </c:pt>
                <c:pt idx="16">
                  <c:v>17 gijos</c:v>
                </c:pt>
                <c:pt idx="17">
                  <c:v>18 gijos</c:v>
                </c:pt>
                <c:pt idx="18">
                  <c:v>19 gijos</c:v>
                </c:pt>
                <c:pt idx="19">
                  <c:v>20 gijos</c:v>
                </c:pt>
                <c:pt idx="20">
                  <c:v>21 gijos</c:v>
                </c:pt>
                <c:pt idx="21">
                  <c:v>22 gijos</c:v>
                </c:pt>
                <c:pt idx="22">
                  <c:v>23 gijos</c:v>
                </c:pt>
                <c:pt idx="23">
                  <c:v>24 gijos</c:v>
                </c:pt>
                <c:pt idx="24">
                  <c:v>25 gijos</c:v>
                </c:pt>
                <c:pt idx="25">
                  <c:v>26 gijos</c:v>
                </c:pt>
                <c:pt idx="26">
                  <c:v>27 gijos</c:v>
                </c:pt>
                <c:pt idx="27">
                  <c:v>28 gijos</c:v>
                </c:pt>
                <c:pt idx="28">
                  <c:v>29 gijos</c:v>
                </c:pt>
                <c:pt idx="29">
                  <c:v>30 gijos</c:v>
                </c:pt>
                <c:pt idx="30">
                  <c:v>31 gijos</c:v>
                </c:pt>
                <c:pt idx="31">
                  <c:v>32 gijos</c:v>
                </c:pt>
              </c:strCache>
            </c:strRef>
          </c:cat>
          <c:val>
            <c:numRef>
              <c:f>'lab3'!$B$23:$AG$23</c:f>
              <c:numCache>
                <c:formatCode>General</c:formatCode>
                <c:ptCount val="32"/>
                <c:pt idx="1">
                  <c:v>436207616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C5-45DC-920A-3AA3AB9AC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5792005"/>
        <c:axId val="1859642852"/>
      </c:lineChart>
      <c:catAx>
        <c:axId val="2045792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lt-LT"/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lt-LT"/>
          </a:p>
        </c:txPr>
        <c:crossAx val="1859642852"/>
        <c:crosses val="autoZero"/>
        <c:auto val="1"/>
        <c:lblAlgn val="ctr"/>
        <c:lblOffset val="100"/>
        <c:noMultiLvlLbl val="1"/>
      </c:catAx>
      <c:valAx>
        <c:axId val="1859642852"/>
        <c:scaling>
          <c:orientation val="minMax"/>
          <c:max val="1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lt-LT"/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lt-LT"/>
          </a:p>
        </c:txPr>
        <c:crossAx val="2045792005"/>
        <c:crosses val="autoZero"/>
        <c:crossBetween val="between"/>
        <c:majorUnit val="1"/>
        <c:minorUnit val="0.333333333333333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lt-L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lt-LT" b="0">
                <a:solidFill>
                  <a:srgbClr val="757575"/>
                </a:solidFill>
                <a:latin typeface="+mn-lt"/>
              </a:rPr>
              <a:t>2^25 (33554432) greitis, Realus spartėjimas vs Teorinis spartėjimas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'lab4'!$G$2</c:f>
              <c:strCache>
                <c:ptCount val="1"/>
                <c:pt idx="0">
                  <c:v>Teorinis spartėjimas 2^25</c:v>
                </c:pt>
              </c:strCache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circle"/>
            <c:size val="10"/>
            <c:spPr>
              <a:solidFill>
                <a:srgbClr val="4472C4"/>
              </a:solidFill>
              <a:ln cmpd="sng">
                <a:solidFill>
                  <a:srgbClr val="4472C4"/>
                </a:solidFill>
              </a:ln>
            </c:spPr>
          </c:marker>
          <c:cat>
            <c:strRef>
              <c:f>'lab4'!$A$3:$A$258</c:f>
              <c:strCache>
                <c:ptCount val="256"/>
                <c:pt idx="0">
                  <c:v>1 gijos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5 gijos</c:v>
                </c:pt>
                <c:pt idx="5">
                  <c:v>6 gijos</c:v>
                </c:pt>
                <c:pt idx="6">
                  <c:v>7 gijos</c:v>
                </c:pt>
                <c:pt idx="7">
                  <c:v>8 gijos</c:v>
                </c:pt>
                <c:pt idx="8">
                  <c:v>9 gijos</c:v>
                </c:pt>
                <c:pt idx="9">
                  <c:v>10 gijos</c:v>
                </c:pt>
                <c:pt idx="10">
                  <c:v>11 gijos</c:v>
                </c:pt>
                <c:pt idx="11">
                  <c:v>12 gijos</c:v>
                </c:pt>
                <c:pt idx="12">
                  <c:v>13 gijos</c:v>
                </c:pt>
                <c:pt idx="13">
                  <c:v>14 gijos</c:v>
                </c:pt>
                <c:pt idx="14">
                  <c:v>15 gijos</c:v>
                </c:pt>
                <c:pt idx="15">
                  <c:v>16 gijos</c:v>
                </c:pt>
                <c:pt idx="16">
                  <c:v>17 gijos</c:v>
                </c:pt>
                <c:pt idx="17">
                  <c:v>18 gijos</c:v>
                </c:pt>
                <c:pt idx="18">
                  <c:v>19 gijos</c:v>
                </c:pt>
                <c:pt idx="19">
                  <c:v>20 gijos</c:v>
                </c:pt>
                <c:pt idx="20">
                  <c:v>21 gijos</c:v>
                </c:pt>
                <c:pt idx="21">
                  <c:v>22 gijos</c:v>
                </c:pt>
                <c:pt idx="22">
                  <c:v>23 gijos</c:v>
                </c:pt>
                <c:pt idx="23">
                  <c:v>24 gijos</c:v>
                </c:pt>
                <c:pt idx="24">
                  <c:v>25 gijos</c:v>
                </c:pt>
                <c:pt idx="25">
                  <c:v>26 gijos</c:v>
                </c:pt>
                <c:pt idx="26">
                  <c:v>27 gijos</c:v>
                </c:pt>
                <c:pt idx="27">
                  <c:v>28 gijos</c:v>
                </c:pt>
                <c:pt idx="28">
                  <c:v>29 gijos</c:v>
                </c:pt>
                <c:pt idx="29">
                  <c:v>30 gijos</c:v>
                </c:pt>
                <c:pt idx="30">
                  <c:v>31 gijos</c:v>
                </c:pt>
                <c:pt idx="31">
                  <c:v>32 gijos</c:v>
                </c:pt>
                <c:pt idx="32">
                  <c:v>33 gijos</c:v>
                </c:pt>
                <c:pt idx="33">
                  <c:v>34 gijos</c:v>
                </c:pt>
                <c:pt idx="34">
                  <c:v>35 gijos</c:v>
                </c:pt>
                <c:pt idx="35">
                  <c:v>36 gijos</c:v>
                </c:pt>
                <c:pt idx="36">
                  <c:v>37 gijos</c:v>
                </c:pt>
                <c:pt idx="37">
                  <c:v>38 gijos</c:v>
                </c:pt>
                <c:pt idx="38">
                  <c:v>39 gijos</c:v>
                </c:pt>
                <c:pt idx="39">
                  <c:v>40 gijos</c:v>
                </c:pt>
                <c:pt idx="40">
                  <c:v>41 gijos</c:v>
                </c:pt>
                <c:pt idx="41">
                  <c:v>42 gijos</c:v>
                </c:pt>
                <c:pt idx="42">
                  <c:v>43 gijos</c:v>
                </c:pt>
                <c:pt idx="43">
                  <c:v>44 gijos</c:v>
                </c:pt>
                <c:pt idx="44">
                  <c:v>45 gijos</c:v>
                </c:pt>
                <c:pt idx="45">
                  <c:v>46 gijos</c:v>
                </c:pt>
                <c:pt idx="46">
                  <c:v>47 gijos</c:v>
                </c:pt>
                <c:pt idx="47">
                  <c:v>48 gijos</c:v>
                </c:pt>
                <c:pt idx="48">
                  <c:v>49 gijos</c:v>
                </c:pt>
                <c:pt idx="49">
                  <c:v>50 gijos</c:v>
                </c:pt>
                <c:pt idx="50">
                  <c:v>51 gijos</c:v>
                </c:pt>
                <c:pt idx="51">
                  <c:v>52 gijos</c:v>
                </c:pt>
                <c:pt idx="52">
                  <c:v>53 gijos</c:v>
                </c:pt>
                <c:pt idx="53">
                  <c:v>54 gijos</c:v>
                </c:pt>
                <c:pt idx="54">
                  <c:v>55 gijos</c:v>
                </c:pt>
                <c:pt idx="55">
                  <c:v>56 gijos</c:v>
                </c:pt>
                <c:pt idx="56">
                  <c:v>57 gijos</c:v>
                </c:pt>
                <c:pt idx="57">
                  <c:v>58 gijos</c:v>
                </c:pt>
                <c:pt idx="58">
                  <c:v>59 gijos</c:v>
                </c:pt>
                <c:pt idx="59">
                  <c:v>60 gijos</c:v>
                </c:pt>
                <c:pt idx="60">
                  <c:v>61 gijos</c:v>
                </c:pt>
                <c:pt idx="61">
                  <c:v>62 gijos</c:v>
                </c:pt>
                <c:pt idx="62">
                  <c:v>63 gijos</c:v>
                </c:pt>
                <c:pt idx="63">
                  <c:v>64 gijos</c:v>
                </c:pt>
                <c:pt idx="64">
                  <c:v>65 gijos</c:v>
                </c:pt>
                <c:pt idx="65">
                  <c:v>66 gijos</c:v>
                </c:pt>
                <c:pt idx="66">
                  <c:v>67 gijos</c:v>
                </c:pt>
                <c:pt idx="67">
                  <c:v>68 gijos</c:v>
                </c:pt>
                <c:pt idx="68">
                  <c:v>69 gijos</c:v>
                </c:pt>
                <c:pt idx="69">
                  <c:v>70 gijos</c:v>
                </c:pt>
                <c:pt idx="70">
                  <c:v>71 gijos</c:v>
                </c:pt>
                <c:pt idx="71">
                  <c:v>72 gijos</c:v>
                </c:pt>
                <c:pt idx="72">
                  <c:v>73 gijos</c:v>
                </c:pt>
                <c:pt idx="73">
                  <c:v>74 gijos</c:v>
                </c:pt>
                <c:pt idx="74">
                  <c:v>75 gijos</c:v>
                </c:pt>
                <c:pt idx="75">
                  <c:v>76 gijos</c:v>
                </c:pt>
                <c:pt idx="76">
                  <c:v>77 gijos</c:v>
                </c:pt>
                <c:pt idx="77">
                  <c:v>78 gijos</c:v>
                </c:pt>
                <c:pt idx="78">
                  <c:v>79 gijos</c:v>
                </c:pt>
                <c:pt idx="79">
                  <c:v>80 gijos</c:v>
                </c:pt>
                <c:pt idx="80">
                  <c:v>81 gijos</c:v>
                </c:pt>
                <c:pt idx="81">
                  <c:v>82 gijos</c:v>
                </c:pt>
                <c:pt idx="82">
                  <c:v>83 gijos</c:v>
                </c:pt>
                <c:pt idx="83">
                  <c:v>84 gijos</c:v>
                </c:pt>
                <c:pt idx="84">
                  <c:v>85 gijos</c:v>
                </c:pt>
                <c:pt idx="85">
                  <c:v>86 gijos</c:v>
                </c:pt>
                <c:pt idx="86">
                  <c:v>87 gijos</c:v>
                </c:pt>
                <c:pt idx="87">
                  <c:v>88 gijos</c:v>
                </c:pt>
                <c:pt idx="88">
                  <c:v>89 gijos</c:v>
                </c:pt>
                <c:pt idx="89">
                  <c:v>90 gijos</c:v>
                </c:pt>
                <c:pt idx="90">
                  <c:v>91 gijos</c:v>
                </c:pt>
                <c:pt idx="91">
                  <c:v>92 gijos</c:v>
                </c:pt>
                <c:pt idx="92">
                  <c:v>93 gijos</c:v>
                </c:pt>
                <c:pt idx="93">
                  <c:v>94 gijos</c:v>
                </c:pt>
                <c:pt idx="94">
                  <c:v>95 gijos</c:v>
                </c:pt>
                <c:pt idx="95">
                  <c:v>96 gijos</c:v>
                </c:pt>
                <c:pt idx="96">
                  <c:v>97 gijos</c:v>
                </c:pt>
                <c:pt idx="97">
                  <c:v>98 gijos</c:v>
                </c:pt>
                <c:pt idx="98">
                  <c:v>99 gijos</c:v>
                </c:pt>
                <c:pt idx="99">
                  <c:v>100 gijos</c:v>
                </c:pt>
                <c:pt idx="100">
                  <c:v>101 gijos</c:v>
                </c:pt>
                <c:pt idx="101">
                  <c:v>102 gijos</c:v>
                </c:pt>
                <c:pt idx="102">
                  <c:v>103 gijos</c:v>
                </c:pt>
                <c:pt idx="103">
                  <c:v>104 gijos</c:v>
                </c:pt>
                <c:pt idx="104">
                  <c:v>105 gijos</c:v>
                </c:pt>
                <c:pt idx="105">
                  <c:v>106 gijos</c:v>
                </c:pt>
                <c:pt idx="106">
                  <c:v>107 gijos</c:v>
                </c:pt>
                <c:pt idx="107">
                  <c:v>108 gijos</c:v>
                </c:pt>
                <c:pt idx="108">
                  <c:v>109 gijos</c:v>
                </c:pt>
                <c:pt idx="109">
                  <c:v>110 gijos</c:v>
                </c:pt>
                <c:pt idx="110">
                  <c:v>111 gijos</c:v>
                </c:pt>
                <c:pt idx="111">
                  <c:v>112 gijos</c:v>
                </c:pt>
                <c:pt idx="112">
                  <c:v>113 gijos</c:v>
                </c:pt>
                <c:pt idx="113">
                  <c:v>114 gijos</c:v>
                </c:pt>
                <c:pt idx="114">
                  <c:v>115 gijos</c:v>
                </c:pt>
                <c:pt idx="115">
                  <c:v>116 gijos</c:v>
                </c:pt>
                <c:pt idx="116">
                  <c:v>117 gijos</c:v>
                </c:pt>
                <c:pt idx="117">
                  <c:v>118 gijos</c:v>
                </c:pt>
                <c:pt idx="118">
                  <c:v>119 gijos</c:v>
                </c:pt>
                <c:pt idx="119">
                  <c:v>120 gijos</c:v>
                </c:pt>
                <c:pt idx="120">
                  <c:v>121 gijos</c:v>
                </c:pt>
                <c:pt idx="121">
                  <c:v>122 gijos</c:v>
                </c:pt>
                <c:pt idx="122">
                  <c:v>123 gijos</c:v>
                </c:pt>
                <c:pt idx="123">
                  <c:v>124 gijos</c:v>
                </c:pt>
                <c:pt idx="124">
                  <c:v>125 gijos</c:v>
                </c:pt>
                <c:pt idx="125">
                  <c:v>126 gijos</c:v>
                </c:pt>
                <c:pt idx="126">
                  <c:v>127 gijos</c:v>
                </c:pt>
                <c:pt idx="127">
                  <c:v>128 gijos</c:v>
                </c:pt>
                <c:pt idx="128">
                  <c:v>129 gijos</c:v>
                </c:pt>
                <c:pt idx="129">
                  <c:v>130 gijos</c:v>
                </c:pt>
                <c:pt idx="130">
                  <c:v>131 gijos</c:v>
                </c:pt>
                <c:pt idx="131">
                  <c:v>132 gijos</c:v>
                </c:pt>
                <c:pt idx="132">
                  <c:v>133 gijos</c:v>
                </c:pt>
                <c:pt idx="133">
                  <c:v>134 gijos</c:v>
                </c:pt>
                <c:pt idx="134">
                  <c:v>135 gijos</c:v>
                </c:pt>
                <c:pt idx="135">
                  <c:v>136 gijos</c:v>
                </c:pt>
                <c:pt idx="136">
                  <c:v>137 gijos</c:v>
                </c:pt>
                <c:pt idx="137">
                  <c:v>138 gijos</c:v>
                </c:pt>
                <c:pt idx="138">
                  <c:v>139 gijos</c:v>
                </c:pt>
                <c:pt idx="139">
                  <c:v>140 gijos</c:v>
                </c:pt>
                <c:pt idx="140">
                  <c:v>141 gijos</c:v>
                </c:pt>
                <c:pt idx="141">
                  <c:v>142 gijos</c:v>
                </c:pt>
                <c:pt idx="142">
                  <c:v>143 gijos</c:v>
                </c:pt>
                <c:pt idx="143">
                  <c:v>144 gijos</c:v>
                </c:pt>
                <c:pt idx="144">
                  <c:v>145 gijos</c:v>
                </c:pt>
                <c:pt idx="145">
                  <c:v>146 gijos</c:v>
                </c:pt>
                <c:pt idx="146">
                  <c:v>147 gijos</c:v>
                </c:pt>
                <c:pt idx="147">
                  <c:v>148 gijos</c:v>
                </c:pt>
                <c:pt idx="148">
                  <c:v>149 gijos</c:v>
                </c:pt>
                <c:pt idx="149">
                  <c:v>150 gijos</c:v>
                </c:pt>
                <c:pt idx="150">
                  <c:v>151 gijos</c:v>
                </c:pt>
                <c:pt idx="151">
                  <c:v>152 gijos</c:v>
                </c:pt>
                <c:pt idx="152">
                  <c:v>153 gijos</c:v>
                </c:pt>
                <c:pt idx="153">
                  <c:v>154 gijos</c:v>
                </c:pt>
                <c:pt idx="154">
                  <c:v>155 gijos</c:v>
                </c:pt>
                <c:pt idx="155">
                  <c:v>156 gijos</c:v>
                </c:pt>
                <c:pt idx="156">
                  <c:v>157 gijos</c:v>
                </c:pt>
                <c:pt idx="157">
                  <c:v>158 gijos</c:v>
                </c:pt>
                <c:pt idx="158">
                  <c:v>159 gijos</c:v>
                </c:pt>
                <c:pt idx="159">
                  <c:v>160 gijos</c:v>
                </c:pt>
                <c:pt idx="160">
                  <c:v>161 gijos</c:v>
                </c:pt>
                <c:pt idx="161">
                  <c:v>162 gijos</c:v>
                </c:pt>
                <c:pt idx="162">
                  <c:v>163 gijos</c:v>
                </c:pt>
                <c:pt idx="163">
                  <c:v>164 gijos</c:v>
                </c:pt>
                <c:pt idx="164">
                  <c:v>165 gijos</c:v>
                </c:pt>
                <c:pt idx="165">
                  <c:v>166 gijos</c:v>
                </c:pt>
                <c:pt idx="166">
                  <c:v>167 gijos</c:v>
                </c:pt>
                <c:pt idx="167">
                  <c:v>168 gijos</c:v>
                </c:pt>
                <c:pt idx="168">
                  <c:v>169 gijos</c:v>
                </c:pt>
                <c:pt idx="169">
                  <c:v>170 gijos</c:v>
                </c:pt>
                <c:pt idx="170">
                  <c:v>171 gijos</c:v>
                </c:pt>
                <c:pt idx="171">
                  <c:v>172 gijos</c:v>
                </c:pt>
                <c:pt idx="172">
                  <c:v>173 gijos</c:v>
                </c:pt>
                <c:pt idx="173">
                  <c:v>174 gijos</c:v>
                </c:pt>
                <c:pt idx="174">
                  <c:v>175 gijos</c:v>
                </c:pt>
                <c:pt idx="175">
                  <c:v>176 gijos</c:v>
                </c:pt>
                <c:pt idx="176">
                  <c:v>177 gijos</c:v>
                </c:pt>
                <c:pt idx="177">
                  <c:v>178 gijos</c:v>
                </c:pt>
                <c:pt idx="178">
                  <c:v>179 gijos</c:v>
                </c:pt>
                <c:pt idx="179">
                  <c:v>180 gijos</c:v>
                </c:pt>
                <c:pt idx="180">
                  <c:v>181 gijos</c:v>
                </c:pt>
                <c:pt idx="181">
                  <c:v>182 gijos</c:v>
                </c:pt>
                <c:pt idx="182">
                  <c:v>183 gijos</c:v>
                </c:pt>
                <c:pt idx="183">
                  <c:v>184 gijos</c:v>
                </c:pt>
                <c:pt idx="184">
                  <c:v>185 gijos</c:v>
                </c:pt>
                <c:pt idx="185">
                  <c:v>186 gijos</c:v>
                </c:pt>
                <c:pt idx="186">
                  <c:v>187 gijos</c:v>
                </c:pt>
                <c:pt idx="187">
                  <c:v>188 gijos</c:v>
                </c:pt>
                <c:pt idx="188">
                  <c:v>189 gijos</c:v>
                </c:pt>
                <c:pt idx="189">
                  <c:v>190 gijos</c:v>
                </c:pt>
                <c:pt idx="190">
                  <c:v>191 gijos</c:v>
                </c:pt>
                <c:pt idx="191">
                  <c:v>192 gijos</c:v>
                </c:pt>
                <c:pt idx="192">
                  <c:v>193 gijos</c:v>
                </c:pt>
                <c:pt idx="193">
                  <c:v>194 gijos</c:v>
                </c:pt>
                <c:pt idx="194">
                  <c:v>195 gijos</c:v>
                </c:pt>
                <c:pt idx="195">
                  <c:v>196 gijos</c:v>
                </c:pt>
                <c:pt idx="196">
                  <c:v>197 gijos</c:v>
                </c:pt>
                <c:pt idx="197">
                  <c:v>198 gijos</c:v>
                </c:pt>
                <c:pt idx="198">
                  <c:v>199 gijos</c:v>
                </c:pt>
                <c:pt idx="199">
                  <c:v>200 gijos</c:v>
                </c:pt>
                <c:pt idx="200">
                  <c:v>201 gijos</c:v>
                </c:pt>
                <c:pt idx="201">
                  <c:v>202 gijos</c:v>
                </c:pt>
                <c:pt idx="202">
                  <c:v>203 gijos</c:v>
                </c:pt>
                <c:pt idx="203">
                  <c:v>204 gijos</c:v>
                </c:pt>
                <c:pt idx="204">
                  <c:v>205 gijos</c:v>
                </c:pt>
                <c:pt idx="205">
                  <c:v>206 gijos</c:v>
                </c:pt>
                <c:pt idx="206">
                  <c:v>207 gijos</c:v>
                </c:pt>
                <c:pt idx="207">
                  <c:v>208 gijos</c:v>
                </c:pt>
                <c:pt idx="208">
                  <c:v>209 gijos</c:v>
                </c:pt>
                <c:pt idx="209">
                  <c:v>210 gijos</c:v>
                </c:pt>
                <c:pt idx="210">
                  <c:v>211 gijos</c:v>
                </c:pt>
                <c:pt idx="211">
                  <c:v>212 gijos</c:v>
                </c:pt>
                <c:pt idx="212">
                  <c:v>213 gijos</c:v>
                </c:pt>
                <c:pt idx="213">
                  <c:v>214 gijos</c:v>
                </c:pt>
                <c:pt idx="214">
                  <c:v>215 gijos</c:v>
                </c:pt>
                <c:pt idx="215">
                  <c:v>216 gijos</c:v>
                </c:pt>
                <c:pt idx="216">
                  <c:v>217 gijos</c:v>
                </c:pt>
                <c:pt idx="217">
                  <c:v>218 gijos</c:v>
                </c:pt>
                <c:pt idx="218">
                  <c:v>219 gijos</c:v>
                </c:pt>
                <c:pt idx="219">
                  <c:v>220 gijos</c:v>
                </c:pt>
                <c:pt idx="220">
                  <c:v>221 gijos</c:v>
                </c:pt>
                <c:pt idx="221">
                  <c:v>222 gijos</c:v>
                </c:pt>
                <c:pt idx="222">
                  <c:v>223 gijos</c:v>
                </c:pt>
                <c:pt idx="223">
                  <c:v>224 gijos</c:v>
                </c:pt>
                <c:pt idx="224">
                  <c:v>225 gijos</c:v>
                </c:pt>
                <c:pt idx="225">
                  <c:v>226 gijos</c:v>
                </c:pt>
                <c:pt idx="226">
                  <c:v>227 gijos</c:v>
                </c:pt>
                <c:pt idx="227">
                  <c:v>228 gijos</c:v>
                </c:pt>
                <c:pt idx="228">
                  <c:v>229 gijos</c:v>
                </c:pt>
                <c:pt idx="229">
                  <c:v>230 gijos</c:v>
                </c:pt>
                <c:pt idx="230">
                  <c:v>231 gijos</c:v>
                </c:pt>
                <c:pt idx="231">
                  <c:v>232 gijos</c:v>
                </c:pt>
                <c:pt idx="232">
                  <c:v>233 gijos</c:v>
                </c:pt>
                <c:pt idx="233">
                  <c:v>234 gijos</c:v>
                </c:pt>
                <c:pt idx="234">
                  <c:v>235 gijos</c:v>
                </c:pt>
                <c:pt idx="235">
                  <c:v>236 gijos</c:v>
                </c:pt>
                <c:pt idx="236">
                  <c:v>237 gijos</c:v>
                </c:pt>
                <c:pt idx="237">
                  <c:v>238 gijos</c:v>
                </c:pt>
                <c:pt idx="238">
                  <c:v>239 gijos</c:v>
                </c:pt>
                <c:pt idx="239">
                  <c:v>240 gijos</c:v>
                </c:pt>
                <c:pt idx="240">
                  <c:v>241 gijos</c:v>
                </c:pt>
                <c:pt idx="241">
                  <c:v>242 gijos</c:v>
                </c:pt>
                <c:pt idx="242">
                  <c:v>243 gijos</c:v>
                </c:pt>
                <c:pt idx="243">
                  <c:v>244 gijos</c:v>
                </c:pt>
                <c:pt idx="244">
                  <c:v>245 gijos</c:v>
                </c:pt>
                <c:pt idx="245">
                  <c:v>246 gijos</c:v>
                </c:pt>
                <c:pt idx="246">
                  <c:v>247 gijos</c:v>
                </c:pt>
                <c:pt idx="247">
                  <c:v>248 gijos</c:v>
                </c:pt>
                <c:pt idx="248">
                  <c:v>249 gijos</c:v>
                </c:pt>
                <c:pt idx="249">
                  <c:v>250 gijos</c:v>
                </c:pt>
                <c:pt idx="250">
                  <c:v>251 gijos</c:v>
                </c:pt>
                <c:pt idx="251">
                  <c:v>252 gijos</c:v>
                </c:pt>
                <c:pt idx="252">
                  <c:v>253 gijos</c:v>
                </c:pt>
                <c:pt idx="253">
                  <c:v>254 gijos</c:v>
                </c:pt>
                <c:pt idx="254">
                  <c:v>255 gijos</c:v>
                </c:pt>
                <c:pt idx="255">
                  <c:v>256 gijos</c:v>
                </c:pt>
              </c:strCache>
            </c:strRef>
          </c:cat>
          <c:val>
            <c:numRef>
              <c:f>'lab4'!$G$3:$G$258</c:f>
              <c:numCache>
                <c:formatCode>0.00</c:formatCode>
                <c:ptCount val="256"/>
                <c:pt idx="0">
                  <c:v>1</c:v>
                </c:pt>
                <c:pt idx="1">
                  <c:v>1.9230769230769231</c:v>
                </c:pt>
                <c:pt idx="3">
                  <c:v>3.4482758620689653</c:v>
                </c:pt>
                <c:pt idx="7">
                  <c:v>5.5555555555555554</c:v>
                </c:pt>
                <c:pt idx="15">
                  <c:v>7.8431372549019605</c:v>
                </c:pt>
                <c:pt idx="31">
                  <c:v>9.7560975609756095</c:v>
                </c:pt>
                <c:pt idx="63">
                  <c:v>11.03448275862069</c:v>
                </c:pt>
                <c:pt idx="127">
                  <c:v>11.764705882352942</c:v>
                </c:pt>
                <c:pt idx="255">
                  <c:v>12.144212523719165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51-4013-A4EA-8736FA4E9435}"/>
            </c:ext>
          </c:extLst>
        </c:ser>
        <c:ser>
          <c:idx val="1"/>
          <c:order val="1"/>
          <c:tx>
            <c:strRef>
              <c:f>'lab4'!$K$2</c:f>
              <c:strCache>
                <c:ptCount val="1"/>
                <c:pt idx="0">
                  <c:v>Teorinis spartėjimas 2^30</c:v>
                </c:pt>
              </c:strCache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circle"/>
            <c:size val="10"/>
            <c:spPr>
              <a:solidFill>
                <a:srgbClr val="ED7D31"/>
              </a:solidFill>
              <a:ln cmpd="sng">
                <a:solidFill>
                  <a:srgbClr val="ED7D31"/>
                </a:solidFill>
              </a:ln>
            </c:spPr>
          </c:marker>
          <c:cat>
            <c:strRef>
              <c:f>'lab4'!$A$3:$A$258</c:f>
              <c:strCache>
                <c:ptCount val="256"/>
                <c:pt idx="0">
                  <c:v>1 gijos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5 gijos</c:v>
                </c:pt>
                <c:pt idx="5">
                  <c:v>6 gijos</c:v>
                </c:pt>
                <c:pt idx="6">
                  <c:v>7 gijos</c:v>
                </c:pt>
                <c:pt idx="7">
                  <c:v>8 gijos</c:v>
                </c:pt>
                <c:pt idx="8">
                  <c:v>9 gijos</c:v>
                </c:pt>
                <c:pt idx="9">
                  <c:v>10 gijos</c:v>
                </c:pt>
                <c:pt idx="10">
                  <c:v>11 gijos</c:v>
                </c:pt>
                <c:pt idx="11">
                  <c:v>12 gijos</c:v>
                </c:pt>
                <c:pt idx="12">
                  <c:v>13 gijos</c:v>
                </c:pt>
                <c:pt idx="13">
                  <c:v>14 gijos</c:v>
                </c:pt>
                <c:pt idx="14">
                  <c:v>15 gijos</c:v>
                </c:pt>
                <c:pt idx="15">
                  <c:v>16 gijos</c:v>
                </c:pt>
                <c:pt idx="16">
                  <c:v>17 gijos</c:v>
                </c:pt>
                <c:pt idx="17">
                  <c:v>18 gijos</c:v>
                </c:pt>
                <c:pt idx="18">
                  <c:v>19 gijos</c:v>
                </c:pt>
                <c:pt idx="19">
                  <c:v>20 gijos</c:v>
                </c:pt>
                <c:pt idx="20">
                  <c:v>21 gijos</c:v>
                </c:pt>
                <c:pt idx="21">
                  <c:v>22 gijos</c:v>
                </c:pt>
                <c:pt idx="22">
                  <c:v>23 gijos</c:v>
                </c:pt>
                <c:pt idx="23">
                  <c:v>24 gijos</c:v>
                </c:pt>
                <c:pt idx="24">
                  <c:v>25 gijos</c:v>
                </c:pt>
                <c:pt idx="25">
                  <c:v>26 gijos</c:v>
                </c:pt>
                <c:pt idx="26">
                  <c:v>27 gijos</c:v>
                </c:pt>
                <c:pt idx="27">
                  <c:v>28 gijos</c:v>
                </c:pt>
                <c:pt idx="28">
                  <c:v>29 gijos</c:v>
                </c:pt>
                <c:pt idx="29">
                  <c:v>30 gijos</c:v>
                </c:pt>
                <c:pt idx="30">
                  <c:v>31 gijos</c:v>
                </c:pt>
                <c:pt idx="31">
                  <c:v>32 gijos</c:v>
                </c:pt>
                <c:pt idx="32">
                  <c:v>33 gijos</c:v>
                </c:pt>
                <c:pt idx="33">
                  <c:v>34 gijos</c:v>
                </c:pt>
                <c:pt idx="34">
                  <c:v>35 gijos</c:v>
                </c:pt>
                <c:pt idx="35">
                  <c:v>36 gijos</c:v>
                </c:pt>
                <c:pt idx="36">
                  <c:v>37 gijos</c:v>
                </c:pt>
                <c:pt idx="37">
                  <c:v>38 gijos</c:v>
                </c:pt>
                <c:pt idx="38">
                  <c:v>39 gijos</c:v>
                </c:pt>
                <c:pt idx="39">
                  <c:v>40 gijos</c:v>
                </c:pt>
                <c:pt idx="40">
                  <c:v>41 gijos</c:v>
                </c:pt>
                <c:pt idx="41">
                  <c:v>42 gijos</c:v>
                </c:pt>
                <c:pt idx="42">
                  <c:v>43 gijos</c:v>
                </c:pt>
                <c:pt idx="43">
                  <c:v>44 gijos</c:v>
                </c:pt>
                <c:pt idx="44">
                  <c:v>45 gijos</c:v>
                </c:pt>
                <c:pt idx="45">
                  <c:v>46 gijos</c:v>
                </c:pt>
                <c:pt idx="46">
                  <c:v>47 gijos</c:v>
                </c:pt>
                <c:pt idx="47">
                  <c:v>48 gijos</c:v>
                </c:pt>
                <c:pt idx="48">
                  <c:v>49 gijos</c:v>
                </c:pt>
                <c:pt idx="49">
                  <c:v>50 gijos</c:v>
                </c:pt>
                <c:pt idx="50">
                  <c:v>51 gijos</c:v>
                </c:pt>
                <c:pt idx="51">
                  <c:v>52 gijos</c:v>
                </c:pt>
                <c:pt idx="52">
                  <c:v>53 gijos</c:v>
                </c:pt>
                <c:pt idx="53">
                  <c:v>54 gijos</c:v>
                </c:pt>
                <c:pt idx="54">
                  <c:v>55 gijos</c:v>
                </c:pt>
                <c:pt idx="55">
                  <c:v>56 gijos</c:v>
                </c:pt>
                <c:pt idx="56">
                  <c:v>57 gijos</c:v>
                </c:pt>
                <c:pt idx="57">
                  <c:v>58 gijos</c:v>
                </c:pt>
                <c:pt idx="58">
                  <c:v>59 gijos</c:v>
                </c:pt>
                <c:pt idx="59">
                  <c:v>60 gijos</c:v>
                </c:pt>
                <c:pt idx="60">
                  <c:v>61 gijos</c:v>
                </c:pt>
                <c:pt idx="61">
                  <c:v>62 gijos</c:v>
                </c:pt>
                <c:pt idx="62">
                  <c:v>63 gijos</c:v>
                </c:pt>
                <c:pt idx="63">
                  <c:v>64 gijos</c:v>
                </c:pt>
                <c:pt idx="64">
                  <c:v>65 gijos</c:v>
                </c:pt>
                <c:pt idx="65">
                  <c:v>66 gijos</c:v>
                </c:pt>
                <c:pt idx="66">
                  <c:v>67 gijos</c:v>
                </c:pt>
                <c:pt idx="67">
                  <c:v>68 gijos</c:v>
                </c:pt>
                <c:pt idx="68">
                  <c:v>69 gijos</c:v>
                </c:pt>
                <c:pt idx="69">
                  <c:v>70 gijos</c:v>
                </c:pt>
                <c:pt idx="70">
                  <c:v>71 gijos</c:v>
                </c:pt>
                <c:pt idx="71">
                  <c:v>72 gijos</c:v>
                </c:pt>
                <c:pt idx="72">
                  <c:v>73 gijos</c:v>
                </c:pt>
                <c:pt idx="73">
                  <c:v>74 gijos</c:v>
                </c:pt>
                <c:pt idx="74">
                  <c:v>75 gijos</c:v>
                </c:pt>
                <c:pt idx="75">
                  <c:v>76 gijos</c:v>
                </c:pt>
                <c:pt idx="76">
                  <c:v>77 gijos</c:v>
                </c:pt>
                <c:pt idx="77">
                  <c:v>78 gijos</c:v>
                </c:pt>
                <c:pt idx="78">
                  <c:v>79 gijos</c:v>
                </c:pt>
                <c:pt idx="79">
                  <c:v>80 gijos</c:v>
                </c:pt>
                <c:pt idx="80">
                  <c:v>81 gijos</c:v>
                </c:pt>
                <c:pt idx="81">
                  <c:v>82 gijos</c:v>
                </c:pt>
                <c:pt idx="82">
                  <c:v>83 gijos</c:v>
                </c:pt>
                <c:pt idx="83">
                  <c:v>84 gijos</c:v>
                </c:pt>
                <c:pt idx="84">
                  <c:v>85 gijos</c:v>
                </c:pt>
                <c:pt idx="85">
                  <c:v>86 gijos</c:v>
                </c:pt>
                <c:pt idx="86">
                  <c:v>87 gijos</c:v>
                </c:pt>
                <c:pt idx="87">
                  <c:v>88 gijos</c:v>
                </c:pt>
                <c:pt idx="88">
                  <c:v>89 gijos</c:v>
                </c:pt>
                <c:pt idx="89">
                  <c:v>90 gijos</c:v>
                </c:pt>
                <c:pt idx="90">
                  <c:v>91 gijos</c:v>
                </c:pt>
                <c:pt idx="91">
                  <c:v>92 gijos</c:v>
                </c:pt>
                <c:pt idx="92">
                  <c:v>93 gijos</c:v>
                </c:pt>
                <c:pt idx="93">
                  <c:v>94 gijos</c:v>
                </c:pt>
                <c:pt idx="94">
                  <c:v>95 gijos</c:v>
                </c:pt>
                <c:pt idx="95">
                  <c:v>96 gijos</c:v>
                </c:pt>
                <c:pt idx="96">
                  <c:v>97 gijos</c:v>
                </c:pt>
                <c:pt idx="97">
                  <c:v>98 gijos</c:v>
                </c:pt>
                <c:pt idx="98">
                  <c:v>99 gijos</c:v>
                </c:pt>
                <c:pt idx="99">
                  <c:v>100 gijos</c:v>
                </c:pt>
                <c:pt idx="100">
                  <c:v>101 gijos</c:v>
                </c:pt>
                <c:pt idx="101">
                  <c:v>102 gijos</c:v>
                </c:pt>
                <c:pt idx="102">
                  <c:v>103 gijos</c:v>
                </c:pt>
                <c:pt idx="103">
                  <c:v>104 gijos</c:v>
                </c:pt>
                <c:pt idx="104">
                  <c:v>105 gijos</c:v>
                </c:pt>
                <c:pt idx="105">
                  <c:v>106 gijos</c:v>
                </c:pt>
                <c:pt idx="106">
                  <c:v>107 gijos</c:v>
                </c:pt>
                <c:pt idx="107">
                  <c:v>108 gijos</c:v>
                </c:pt>
                <c:pt idx="108">
                  <c:v>109 gijos</c:v>
                </c:pt>
                <c:pt idx="109">
                  <c:v>110 gijos</c:v>
                </c:pt>
                <c:pt idx="110">
                  <c:v>111 gijos</c:v>
                </c:pt>
                <c:pt idx="111">
                  <c:v>112 gijos</c:v>
                </c:pt>
                <c:pt idx="112">
                  <c:v>113 gijos</c:v>
                </c:pt>
                <c:pt idx="113">
                  <c:v>114 gijos</c:v>
                </c:pt>
                <c:pt idx="114">
                  <c:v>115 gijos</c:v>
                </c:pt>
                <c:pt idx="115">
                  <c:v>116 gijos</c:v>
                </c:pt>
                <c:pt idx="116">
                  <c:v>117 gijos</c:v>
                </c:pt>
                <c:pt idx="117">
                  <c:v>118 gijos</c:v>
                </c:pt>
                <c:pt idx="118">
                  <c:v>119 gijos</c:v>
                </c:pt>
                <c:pt idx="119">
                  <c:v>120 gijos</c:v>
                </c:pt>
                <c:pt idx="120">
                  <c:v>121 gijos</c:v>
                </c:pt>
                <c:pt idx="121">
                  <c:v>122 gijos</c:v>
                </c:pt>
                <c:pt idx="122">
                  <c:v>123 gijos</c:v>
                </c:pt>
                <c:pt idx="123">
                  <c:v>124 gijos</c:v>
                </c:pt>
                <c:pt idx="124">
                  <c:v>125 gijos</c:v>
                </c:pt>
                <c:pt idx="125">
                  <c:v>126 gijos</c:v>
                </c:pt>
                <c:pt idx="126">
                  <c:v>127 gijos</c:v>
                </c:pt>
                <c:pt idx="127">
                  <c:v>128 gijos</c:v>
                </c:pt>
                <c:pt idx="128">
                  <c:v>129 gijos</c:v>
                </c:pt>
                <c:pt idx="129">
                  <c:v>130 gijos</c:v>
                </c:pt>
                <c:pt idx="130">
                  <c:v>131 gijos</c:v>
                </c:pt>
                <c:pt idx="131">
                  <c:v>132 gijos</c:v>
                </c:pt>
                <c:pt idx="132">
                  <c:v>133 gijos</c:v>
                </c:pt>
                <c:pt idx="133">
                  <c:v>134 gijos</c:v>
                </c:pt>
                <c:pt idx="134">
                  <c:v>135 gijos</c:v>
                </c:pt>
                <c:pt idx="135">
                  <c:v>136 gijos</c:v>
                </c:pt>
                <c:pt idx="136">
                  <c:v>137 gijos</c:v>
                </c:pt>
                <c:pt idx="137">
                  <c:v>138 gijos</c:v>
                </c:pt>
                <c:pt idx="138">
                  <c:v>139 gijos</c:v>
                </c:pt>
                <c:pt idx="139">
                  <c:v>140 gijos</c:v>
                </c:pt>
                <c:pt idx="140">
                  <c:v>141 gijos</c:v>
                </c:pt>
                <c:pt idx="141">
                  <c:v>142 gijos</c:v>
                </c:pt>
                <c:pt idx="142">
                  <c:v>143 gijos</c:v>
                </c:pt>
                <c:pt idx="143">
                  <c:v>144 gijos</c:v>
                </c:pt>
                <c:pt idx="144">
                  <c:v>145 gijos</c:v>
                </c:pt>
                <c:pt idx="145">
                  <c:v>146 gijos</c:v>
                </c:pt>
                <c:pt idx="146">
                  <c:v>147 gijos</c:v>
                </c:pt>
                <c:pt idx="147">
                  <c:v>148 gijos</c:v>
                </c:pt>
                <c:pt idx="148">
                  <c:v>149 gijos</c:v>
                </c:pt>
                <c:pt idx="149">
                  <c:v>150 gijos</c:v>
                </c:pt>
                <c:pt idx="150">
                  <c:v>151 gijos</c:v>
                </c:pt>
                <c:pt idx="151">
                  <c:v>152 gijos</c:v>
                </c:pt>
                <c:pt idx="152">
                  <c:v>153 gijos</c:v>
                </c:pt>
                <c:pt idx="153">
                  <c:v>154 gijos</c:v>
                </c:pt>
                <c:pt idx="154">
                  <c:v>155 gijos</c:v>
                </c:pt>
                <c:pt idx="155">
                  <c:v>156 gijos</c:v>
                </c:pt>
                <c:pt idx="156">
                  <c:v>157 gijos</c:v>
                </c:pt>
                <c:pt idx="157">
                  <c:v>158 gijos</c:v>
                </c:pt>
                <c:pt idx="158">
                  <c:v>159 gijos</c:v>
                </c:pt>
                <c:pt idx="159">
                  <c:v>160 gijos</c:v>
                </c:pt>
                <c:pt idx="160">
                  <c:v>161 gijos</c:v>
                </c:pt>
                <c:pt idx="161">
                  <c:v>162 gijos</c:v>
                </c:pt>
                <c:pt idx="162">
                  <c:v>163 gijos</c:v>
                </c:pt>
                <c:pt idx="163">
                  <c:v>164 gijos</c:v>
                </c:pt>
                <c:pt idx="164">
                  <c:v>165 gijos</c:v>
                </c:pt>
                <c:pt idx="165">
                  <c:v>166 gijos</c:v>
                </c:pt>
                <c:pt idx="166">
                  <c:v>167 gijos</c:v>
                </c:pt>
                <c:pt idx="167">
                  <c:v>168 gijos</c:v>
                </c:pt>
                <c:pt idx="168">
                  <c:v>169 gijos</c:v>
                </c:pt>
                <c:pt idx="169">
                  <c:v>170 gijos</c:v>
                </c:pt>
                <c:pt idx="170">
                  <c:v>171 gijos</c:v>
                </c:pt>
                <c:pt idx="171">
                  <c:v>172 gijos</c:v>
                </c:pt>
                <c:pt idx="172">
                  <c:v>173 gijos</c:v>
                </c:pt>
                <c:pt idx="173">
                  <c:v>174 gijos</c:v>
                </c:pt>
                <c:pt idx="174">
                  <c:v>175 gijos</c:v>
                </c:pt>
                <c:pt idx="175">
                  <c:v>176 gijos</c:v>
                </c:pt>
                <c:pt idx="176">
                  <c:v>177 gijos</c:v>
                </c:pt>
                <c:pt idx="177">
                  <c:v>178 gijos</c:v>
                </c:pt>
                <c:pt idx="178">
                  <c:v>179 gijos</c:v>
                </c:pt>
                <c:pt idx="179">
                  <c:v>180 gijos</c:v>
                </c:pt>
                <c:pt idx="180">
                  <c:v>181 gijos</c:v>
                </c:pt>
                <c:pt idx="181">
                  <c:v>182 gijos</c:v>
                </c:pt>
                <c:pt idx="182">
                  <c:v>183 gijos</c:v>
                </c:pt>
                <c:pt idx="183">
                  <c:v>184 gijos</c:v>
                </c:pt>
                <c:pt idx="184">
                  <c:v>185 gijos</c:v>
                </c:pt>
                <c:pt idx="185">
                  <c:v>186 gijos</c:v>
                </c:pt>
                <c:pt idx="186">
                  <c:v>187 gijos</c:v>
                </c:pt>
                <c:pt idx="187">
                  <c:v>188 gijos</c:v>
                </c:pt>
                <c:pt idx="188">
                  <c:v>189 gijos</c:v>
                </c:pt>
                <c:pt idx="189">
                  <c:v>190 gijos</c:v>
                </c:pt>
                <c:pt idx="190">
                  <c:v>191 gijos</c:v>
                </c:pt>
                <c:pt idx="191">
                  <c:v>192 gijos</c:v>
                </c:pt>
                <c:pt idx="192">
                  <c:v>193 gijos</c:v>
                </c:pt>
                <c:pt idx="193">
                  <c:v>194 gijos</c:v>
                </c:pt>
                <c:pt idx="194">
                  <c:v>195 gijos</c:v>
                </c:pt>
                <c:pt idx="195">
                  <c:v>196 gijos</c:v>
                </c:pt>
                <c:pt idx="196">
                  <c:v>197 gijos</c:v>
                </c:pt>
                <c:pt idx="197">
                  <c:v>198 gijos</c:v>
                </c:pt>
                <c:pt idx="198">
                  <c:v>199 gijos</c:v>
                </c:pt>
                <c:pt idx="199">
                  <c:v>200 gijos</c:v>
                </c:pt>
                <c:pt idx="200">
                  <c:v>201 gijos</c:v>
                </c:pt>
                <c:pt idx="201">
                  <c:v>202 gijos</c:v>
                </c:pt>
                <c:pt idx="202">
                  <c:v>203 gijos</c:v>
                </c:pt>
                <c:pt idx="203">
                  <c:v>204 gijos</c:v>
                </c:pt>
                <c:pt idx="204">
                  <c:v>205 gijos</c:v>
                </c:pt>
                <c:pt idx="205">
                  <c:v>206 gijos</c:v>
                </c:pt>
                <c:pt idx="206">
                  <c:v>207 gijos</c:v>
                </c:pt>
                <c:pt idx="207">
                  <c:v>208 gijos</c:v>
                </c:pt>
                <c:pt idx="208">
                  <c:v>209 gijos</c:v>
                </c:pt>
                <c:pt idx="209">
                  <c:v>210 gijos</c:v>
                </c:pt>
                <c:pt idx="210">
                  <c:v>211 gijos</c:v>
                </c:pt>
                <c:pt idx="211">
                  <c:v>212 gijos</c:v>
                </c:pt>
                <c:pt idx="212">
                  <c:v>213 gijos</c:v>
                </c:pt>
                <c:pt idx="213">
                  <c:v>214 gijos</c:v>
                </c:pt>
                <c:pt idx="214">
                  <c:v>215 gijos</c:v>
                </c:pt>
                <c:pt idx="215">
                  <c:v>216 gijos</c:v>
                </c:pt>
                <c:pt idx="216">
                  <c:v>217 gijos</c:v>
                </c:pt>
                <c:pt idx="217">
                  <c:v>218 gijos</c:v>
                </c:pt>
                <c:pt idx="218">
                  <c:v>219 gijos</c:v>
                </c:pt>
                <c:pt idx="219">
                  <c:v>220 gijos</c:v>
                </c:pt>
                <c:pt idx="220">
                  <c:v>221 gijos</c:v>
                </c:pt>
                <c:pt idx="221">
                  <c:v>222 gijos</c:v>
                </c:pt>
                <c:pt idx="222">
                  <c:v>223 gijos</c:v>
                </c:pt>
                <c:pt idx="223">
                  <c:v>224 gijos</c:v>
                </c:pt>
                <c:pt idx="224">
                  <c:v>225 gijos</c:v>
                </c:pt>
                <c:pt idx="225">
                  <c:v>226 gijos</c:v>
                </c:pt>
                <c:pt idx="226">
                  <c:v>227 gijos</c:v>
                </c:pt>
                <c:pt idx="227">
                  <c:v>228 gijos</c:v>
                </c:pt>
                <c:pt idx="228">
                  <c:v>229 gijos</c:v>
                </c:pt>
                <c:pt idx="229">
                  <c:v>230 gijos</c:v>
                </c:pt>
                <c:pt idx="230">
                  <c:v>231 gijos</c:v>
                </c:pt>
                <c:pt idx="231">
                  <c:v>232 gijos</c:v>
                </c:pt>
                <c:pt idx="232">
                  <c:v>233 gijos</c:v>
                </c:pt>
                <c:pt idx="233">
                  <c:v>234 gijos</c:v>
                </c:pt>
                <c:pt idx="234">
                  <c:v>235 gijos</c:v>
                </c:pt>
                <c:pt idx="235">
                  <c:v>236 gijos</c:v>
                </c:pt>
                <c:pt idx="236">
                  <c:v>237 gijos</c:v>
                </c:pt>
                <c:pt idx="237">
                  <c:v>238 gijos</c:v>
                </c:pt>
                <c:pt idx="238">
                  <c:v>239 gijos</c:v>
                </c:pt>
                <c:pt idx="239">
                  <c:v>240 gijos</c:v>
                </c:pt>
                <c:pt idx="240">
                  <c:v>241 gijos</c:v>
                </c:pt>
                <c:pt idx="241">
                  <c:v>242 gijos</c:v>
                </c:pt>
                <c:pt idx="242">
                  <c:v>243 gijos</c:v>
                </c:pt>
                <c:pt idx="243">
                  <c:v>244 gijos</c:v>
                </c:pt>
                <c:pt idx="244">
                  <c:v>245 gijos</c:v>
                </c:pt>
                <c:pt idx="245">
                  <c:v>246 gijos</c:v>
                </c:pt>
                <c:pt idx="246">
                  <c:v>247 gijos</c:v>
                </c:pt>
                <c:pt idx="247">
                  <c:v>248 gijos</c:v>
                </c:pt>
                <c:pt idx="248">
                  <c:v>249 gijos</c:v>
                </c:pt>
                <c:pt idx="249">
                  <c:v>250 gijos</c:v>
                </c:pt>
                <c:pt idx="250">
                  <c:v>251 gijos</c:v>
                </c:pt>
                <c:pt idx="251">
                  <c:v>252 gijos</c:v>
                </c:pt>
                <c:pt idx="252">
                  <c:v>253 gijos</c:v>
                </c:pt>
                <c:pt idx="253">
                  <c:v>254 gijos</c:v>
                </c:pt>
                <c:pt idx="254">
                  <c:v>255 gijos</c:v>
                </c:pt>
                <c:pt idx="255">
                  <c:v>256 gijos</c:v>
                </c:pt>
              </c:strCache>
            </c:strRef>
          </c:cat>
          <c:val>
            <c:numRef>
              <c:f>'lab4'!$K$3:$K$258</c:f>
              <c:numCache>
                <c:formatCode>0.00</c:formatCode>
                <c:ptCount val="256"/>
                <c:pt idx="0">
                  <c:v>1</c:v>
                </c:pt>
                <c:pt idx="1">
                  <c:v>1.9354838709677418</c:v>
                </c:pt>
                <c:pt idx="3">
                  <c:v>3.5294117647058822</c:v>
                </c:pt>
                <c:pt idx="7">
                  <c:v>5.8536585365853657</c:v>
                </c:pt>
                <c:pt idx="15">
                  <c:v>8.5714285714285712</c:v>
                </c:pt>
                <c:pt idx="31">
                  <c:v>11.03448275862069</c:v>
                </c:pt>
                <c:pt idx="63">
                  <c:v>12.8</c:v>
                </c:pt>
                <c:pt idx="127">
                  <c:v>13.862815884476534</c:v>
                </c:pt>
                <c:pt idx="255">
                  <c:v>14.436090225563909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D51-4013-A4EA-8736FA4E9435}"/>
            </c:ext>
          </c:extLst>
        </c:ser>
        <c:ser>
          <c:idx val="2"/>
          <c:order val="2"/>
          <c:tx>
            <c:strRef>
              <c:f>'lab4'!$F$2</c:f>
              <c:strCache>
                <c:ptCount val="1"/>
                <c:pt idx="0">
                  <c:v>Realus spartėjimas 2^25</c:v>
                </c:pt>
              </c:strCache>
            </c:strRef>
          </c:tx>
          <c:spPr>
            <a:ln cmpd="sng">
              <a:solidFill>
                <a:srgbClr val="A5A5A5"/>
              </a:solidFill>
            </a:ln>
          </c:spPr>
          <c:cat>
            <c:strRef>
              <c:f>'lab4'!$A$3:$A$258</c:f>
              <c:strCache>
                <c:ptCount val="256"/>
                <c:pt idx="0">
                  <c:v>1 gijos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5 gijos</c:v>
                </c:pt>
                <c:pt idx="5">
                  <c:v>6 gijos</c:v>
                </c:pt>
                <c:pt idx="6">
                  <c:v>7 gijos</c:v>
                </c:pt>
                <c:pt idx="7">
                  <c:v>8 gijos</c:v>
                </c:pt>
                <c:pt idx="8">
                  <c:v>9 gijos</c:v>
                </c:pt>
                <c:pt idx="9">
                  <c:v>10 gijos</c:v>
                </c:pt>
                <c:pt idx="10">
                  <c:v>11 gijos</c:v>
                </c:pt>
                <c:pt idx="11">
                  <c:v>12 gijos</c:v>
                </c:pt>
                <c:pt idx="12">
                  <c:v>13 gijos</c:v>
                </c:pt>
                <c:pt idx="13">
                  <c:v>14 gijos</c:v>
                </c:pt>
                <c:pt idx="14">
                  <c:v>15 gijos</c:v>
                </c:pt>
                <c:pt idx="15">
                  <c:v>16 gijos</c:v>
                </c:pt>
                <c:pt idx="16">
                  <c:v>17 gijos</c:v>
                </c:pt>
                <c:pt idx="17">
                  <c:v>18 gijos</c:v>
                </c:pt>
                <c:pt idx="18">
                  <c:v>19 gijos</c:v>
                </c:pt>
                <c:pt idx="19">
                  <c:v>20 gijos</c:v>
                </c:pt>
                <c:pt idx="20">
                  <c:v>21 gijos</c:v>
                </c:pt>
                <c:pt idx="21">
                  <c:v>22 gijos</c:v>
                </c:pt>
                <c:pt idx="22">
                  <c:v>23 gijos</c:v>
                </c:pt>
                <c:pt idx="23">
                  <c:v>24 gijos</c:v>
                </c:pt>
                <c:pt idx="24">
                  <c:v>25 gijos</c:v>
                </c:pt>
                <c:pt idx="25">
                  <c:v>26 gijos</c:v>
                </c:pt>
                <c:pt idx="26">
                  <c:v>27 gijos</c:v>
                </c:pt>
                <c:pt idx="27">
                  <c:v>28 gijos</c:v>
                </c:pt>
                <c:pt idx="28">
                  <c:v>29 gijos</c:v>
                </c:pt>
                <c:pt idx="29">
                  <c:v>30 gijos</c:v>
                </c:pt>
                <c:pt idx="30">
                  <c:v>31 gijos</c:v>
                </c:pt>
                <c:pt idx="31">
                  <c:v>32 gijos</c:v>
                </c:pt>
                <c:pt idx="32">
                  <c:v>33 gijos</c:v>
                </c:pt>
                <c:pt idx="33">
                  <c:v>34 gijos</c:v>
                </c:pt>
                <c:pt idx="34">
                  <c:v>35 gijos</c:v>
                </c:pt>
                <c:pt idx="35">
                  <c:v>36 gijos</c:v>
                </c:pt>
                <c:pt idx="36">
                  <c:v>37 gijos</c:v>
                </c:pt>
                <c:pt idx="37">
                  <c:v>38 gijos</c:v>
                </c:pt>
                <c:pt idx="38">
                  <c:v>39 gijos</c:v>
                </c:pt>
                <c:pt idx="39">
                  <c:v>40 gijos</c:v>
                </c:pt>
                <c:pt idx="40">
                  <c:v>41 gijos</c:v>
                </c:pt>
                <c:pt idx="41">
                  <c:v>42 gijos</c:v>
                </c:pt>
                <c:pt idx="42">
                  <c:v>43 gijos</c:v>
                </c:pt>
                <c:pt idx="43">
                  <c:v>44 gijos</c:v>
                </c:pt>
                <c:pt idx="44">
                  <c:v>45 gijos</c:v>
                </c:pt>
                <c:pt idx="45">
                  <c:v>46 gijos</c:v>
                </c:pt>
                <c:pt idx="46">
                  <c:v>47 gijos</c:v>
                </c:pt>
                <c:pt idx="47">
                  <c:v>48 gijos</c:v>
                </c:pt>
                <c:pt idx="48">
                  <c:v>49 gijos</c:v>
                </c:pt>
                <c:pt idx="49">
                  <c:v>50 gijos</c:v>
                </c:pt>
                <c:pt idx="50">
                  <c:v>51 gijos</c:v>
                </c:pt>
                <c:pt idx="51">
                  <c:v>52 gijos</c:v>
                </c:pt>
                <c:pt idx="52">
                  <c:v>53 gijos</c:v>
                </c:pt>
                <c:pt idx="53">
                  <c:v>54 gijos</c:v>
                </c:pt>
                <c:pt idx="54">
                  <c:v>55 gijos</c:v>
                </c:pt>
                <c:pt idx="55">
                  <c:v>56 gijos</c:v>
                </c:pt>
                <c:pt idx="56">
                  <c:v>57 gijos</c:v>
                </c:pt>
                <c:pt idx="57">
                  <c:v>58 gijos</c:v>
                </c:pt>
                <c:pt idx="58">
                  <c:v>59 gijos</c:v>
                </c:pt>
                <c:pt idx="59">
                  <c:v>60 gijos</c:v>
                </c:pt>
                <c:pt idx="60">
                  <c:v>61 gijos</c:v>
                </c:pt>
                <c:pt idx="61">
                  <c:v>62 gijos</c:v>
                </c:pt>
                <c:pt idx="62">
                  <c:v>63 gijos</c:v>
                </c:pt>
                <c:pt idx="63">
                  <c:v>64 gijos</c:v>
                </c:pt>
                <c:pt idx="64">
                  <c:v>65 gijos</c:v>
                </c:pt>
                <c:pt idx="65">
                  <c:v>66 gijos</c:v>
                </c:pt>
                <c:pt idx="66">
                  <c:v>67 gijos</c:v>
                </c:pt>
                <c:pt idx="67">
                  <c:v>68 gijos</c:v>
                </c:pt>
                <c:pt idx="68">
                  <c:v>69 gijos</c:v>
                </c:pt>
                <c:pt idx="69">
                  <c:v>70 gijos</c:v>
                </c:pt>
                <c:pt idx="70">
                  <c:v>71 gijos</c:v>
                </c:pt>
                <c:pt idx="71">
                  <c:v>72 gijos</c:v>
                </c:pt>
                <c:pt idx="72">
                  <c:v>73 gijos</c:v>
                </c:pt>
                <c:pt idx="73">
                  <c:v>74 gijos</c:v>
                </c:pt>
                <c:pt idx="74">
                  <c:v>75 gijos</c:v>
                </c:pt>
                <c:pt idx="75">
                  <c:v>76 gijos</c:v>
                </c:pt>
                <c:pt idx="76">
                  <c:v>77 gijos</c:v>
                </c:pt>
                <c:pt idx="77">
                  <c:v>78 gijos</c:v>
                </c:pt>
                <c:pt idx="78">
                  <c:v>79 gijos</c:v>
                </c:pt>
                <c:pt idx="79">
                  <c:v>80 gijos</c:v>
                </c:pt>
                <c:pt idx="80">
                  <c:v>81 gijos</c:v>
                </c:pt>
                <c:pt idx="81">
                  <c:v>82 gijos</c:v>
                </c:pt>
                <c:pt idx="82">
                  <c:v>83 gijos</c:v>
                </c:pt>
                <c:pt idx="83">
                  <c:v>84 gijos</c:v>
                </c:pt>
                <c:pt idx="84">
                  <c:v>85 gijos</c:v>
                </c:pt>
                <c:pt idx="85">
                  <c:v>86 gijos</c:v>
                </c:pt>
                <c:pt idx="86">
                  <c:v>87 gijos</c:v>
                </c:pt>
                <c:pt idx="87">
                  <c:v>88 gijos</c:v>
                </c:pt>
                <c:pt idx="88">
                  <c:v>89 gijos</c:v>
                </c:pt>
                <c:pt idx="89">
                  <c:v>90 gijos</c:v>
                </c:pt>
                <c:pt idx="90">
                  <c:v>91 gijos</c:v>
                </c:pt>
                <c:pt idx="91">
                  <c:v>92 gijos</c:v>
                </c:pt>
                <c:pt idx="92">
                  <c:v>93 gijos</c:v>
                </c:pt>
                <c:pt idx="93">
                  <c:v>94 gijos</c:v>
                </c:pt>
                <c:pt idx="94">
                  <c:v>95 gijos</c:v>
                </c:pt>
                <c:pt idx="95">
                  <c:v>96 gijos</c:v>
                </c:pt>
                <c:pt idx="96">
                  <c:v>97 gijos</c:v>
                </c:pt>
                <c:pt idx="97">
                  <c:v>98 gijos</c:v>
                </c:pt>
                <c:pt idx="98">
                  <c:v>99 gijos</c:v>
                </c:pt>
                <c:pt idx="99">
                  <c:v>100 gijos</c:v>
                </c:pt>
                <c:pt idx="100">
                  <c:v>101 gijos</c:v>
                </c:pt>
                <c:pt idx="101">
                  <c:v>102 gijos</c:v>
                </c:pt>
                <c:pt idx="102">
                  <c:v>103 gijos</c:v>
                </c:pt>
                <c:pt idx="103">
                  <c:v>104 gijos</c:v>
                </c:pt>
                <c:pt idx="104">
                  <c:v>105 gijos</c:v>
                </c:pt>
                <c:pt idx="105">
                  <c:v>106 gijos</c:v>
                </c:pt>
                <c:pt idx="106">
                  <c:v>107 gijos</c:v>
                </c:pt>
                <c:pt idx="107">
                  <c:v>108 gijos</c:v>
                </c:pt>
                <c:pt idx="108">
                  <c:v>109 gijos</c:v>
                </c:pt>
                <c:pt idx="109">
                  <c:v>110 gijos</c:v>
                </c:pt>
                <c:pt idx="110">
                  <c:v>111 gijos</c:v>
                </c:pt>
                <c:pt idx="111">
                  <c:v>112 gijos</c:v>
                </c:pt>
                <c:pt idx="112">
                  <c:v>113 gijos</c:v>
                </c:pt>
                <c:pt idx="113">
                  <c:v>114 gijos</c:v>
                </c:pt>
                <c:pt idx="114">
                  <c:v>115 gijos</c:v>
                </c:pt>
                <c:pt idx="115">
                  <c:v>116 gijos</c:v>
                </c:pt>
                <c:pt idx="116">
                  <c:v>117 gijos</c:v>
                </c:pt>
                <c:pt idx="117">
                  <c:v>118 gijos</c:v>
                </c:pt>
                <c:pt idx="118">
                  <c:v>119 gijos</c:v>
                </c:pt>
                <c:pt idx="119">
                  <c:v>120 gijos</c:v>
                </c:pt>
                <c:pt idx="120">
                  <c:v>121 gijos</c:v>
                </c:pt>
                <c:pt idx="121">
                  <c:v>122 gijos</c:v>
                </c:pt>
                <c:pt idx="122">
                  <c:v>123 gijos</c:v>
                </c:pt>
                <c:pt idx="123">
                  <c:v>124 gijos</c:v>
                </c:pt>
                <c:pt idx="124">
                  <c:v>125 gijos</c:v>
                </c:pt>
                <c:pt idx="125">
                  <c:v>126 gijos</c:v>
                </c:pt>
                <c:pt idx="126">
                  <c:v>127 gijos</c:v>
                </c:pt>
                <c:pt idx="127">
                  <c:v>128 gijos</c:v>
                </c:pt>
                <c:pt idx="128">
                  <c:v>129 gijos</c:v>
                </c:pt>
                <c:pt idx="129">
                  <c:v>130 gijos</c:v>
                </c:pt>
                <c:pt idx="130">
                  <c:v>131 gijos</c:v>
                </c:pt>
                <c:pt idx="131">
                  <c:v>132 gijos</c:v>
                </c:pt>
                <c:pt idx="132">
                  <c:v>133 gijos</c:v>
                </c:pt>
                <c:pt idx="133">
                  <c:v>134 gijos</c:v>
                </c:pt>
                <c:pt idx="134">
                  <c:v>135 gijos</c:v>
                </c:pt>
                <c:pt idx="135">
                  <c:v>136 gijos</c:v>
                </c:pt>
                <c:pt idx="136">
                  <c:v>137 gijos</c:v>
                </c:pt>
                <c:pt idx="137">
                  <c:v>138 gijos</c:v>
                </c:pt>
                <c:pt idx="138">
                  <c:v>139 gijos</c:v>
                </c:pt>
                <c:pt idx="139">
                  <c:v>140 gijos</c:v>
                </c:pt>
                <c:pt idx="140">
                  <c:v>141 gijos</c:v>
                </c:pt>
                <c:pt idx="141">
                  <c:v>142 gijos</c:v>
                </c:pt>
                <c:pt idx="142">
                  <c:v>143 gijos</c:v>
                </c:pt>
                <c:pt idx="143">
                  <c:v>144 gijos</c:v>
                </c:pt>
                <c:pt idx="144">
                  <c:v>145 gijos</c:v>
                </c:pt>
                <c:pt idx="145">
                  <c:v>146 gijos</c:v>
                </c:pt>
                <c:pt idx="146">
                  <c:v>147 gijos</c:v>
                </c:pt>
                <c:pt idx="147">
                  <c:v>148 gijos</c:v>
                </c:pt>
                <c:pt idx="148">
                  <c:v>149 gijos</c:v>
                </c:pt>
                <c:pt idx="149">
                  <c:v>150 gijos</c:v>
                </c:pt>
                <c:pt idx="150">
                  <c:v>151 gijos</c:v>
                </c:pt>
                <c:pt idx="151">
                  <c:v>152 gijos</c:v>
                </c:pt>
                <c:pt idx="152">
                  <c:v>153 gijos</c:v>
                </c:pt>
                <c:pt idx="153">
                  <c:v>154 gijos</c:v>
                </c:pt>
                <c:pt idx="154">
                  <c:v>155 gijos</c:v>
                </c:pt>
                <c:pt idx="155">
                  <c:v>156 gijos</c:v>
                </c:pt>
                <c:pt idx="156">
                  <c:v>157 gijos</c:v>
                </c:pt>
                <c:pt idx="157">
                  <c:v>158 gijos</c:v>
                </c:pt>
                <c:pt idx="158">
                  <c:v>159 gijos</c:v>
                </c:pt>
                <c:pt idx="159">
                  <c:v>160 gijos</c:v>
                </c:pt>
                <c:pt idx="160">
                  <c:v>161 gijos</c:v>
                </c:pt>
                <c:pt idx="161">
                  <c:v>162 gijos</c:v>
                </c:pt>
                <c:pt idx="162">
                  <c:v>163 gijos</c:v>
                </c:pt>
                <c:pt idx="163">
                  <c:v>164 gijos</c:v>
                </c:pt>
                <c:pt idx="164">
                  <c:v>165 gijos</c:v>
                </c:pt>
                <c:pt idx="165">
                  <c:v>166 gijos</c:v>
                </c:pt>
                <c:pt idx="166">
                  <c:v>167 gijos</c:v>
                </c:pt>
                <c:pt idx="167">
                  <c:v>168 gijos</c:v>
                </c:pt>
                <c:pt idx="168">
                  <c:v>169 gijos</c:v>
                </c:pt>
                <c:pt idx="169">
                  <c:v>170 gijos</c:v>
                </c:pt>
                <c:pt idx="170">
                  <c:v>171 gijos</c:v>
                </c:pt>
                <c:pt idx="171">
                  <c:v>172 gijos</c:v>
                </c:pt>
                <c:pt idx="172">
                  <c:v>173 gijos</c:v>
                </c:pt>
                <c:pt idx="173">
                  <c:v>174 gijos</c:v>
                </c:pt>
                <c:pt idx="174">
                  <c:v>175 gijos</c:v>
                </c:pt>
                <c:pt idx="175">
                  <c:v>176 gijos</c:v>
                </c:pt>
                <c:pt idx="176">
                  <c:v>177 gijos</c:v>
                </c:pt>
                <c:pt idx="177">
                  <c:v>178 gijos</c:v>
                </c:pt>
                <c:pt idx="178">
                  <c:v>179 gijos</c:v>
                </c:pt>
                <c:pt idx="179">
                  <c:v>180 gijos</c:v>
                </c:pt>
                <c:pt idx="180">
                  <c:v>181 gijos</c:v>
                </c:pt>
                <c:pt idx="181">
                  <c:v>182 gijos</c:v>
                </c:pt>
                <c:pt idx="182">
                  <c:v>183 gijos</c:v>
                </c:pt>
                <c:pt idx="183">
                  <c:v>184 gijos</c:v>
                </c:pt>
                <c:pt idx="184">
                  <c:v>185 gijos</c:v>
                </c:pt>
                <c:pt idx="185">
                  <c:v>186 gijos</c:v>
                </c:pt>
                <c:pt idx="186">
                  <c:v>187 gijos</c:v>
                </c:pt>
                <c:pt idx="187">
                  <c:v>188 gijos</c:v>
                </c:pt>
                <c:pt idx="188">
                  <c:v>189 gijos</c:v>
                </c:pt>
                <c:pt idx="189">
                  <c:v>190 gijos</c:v>
                </c:pt>
                <c:pt idx="190">
                  <c:v>191 gijos</c:v>
                </c:pt>
                <c:pt idx="191">
                  <c:v>192 gijos</c:v>
                </c:pt>
                <c:pt idx="192">
                  <c:v>193 gijos</c:v>
                </c:pt>
                <c:pt idx="193">
                  <c:v>194 gijos</c:v>
                </c:pt>
                <c:pt idx="194">
                  <c:v>195 gijos</c:v>
                </c:pt>
                <c:pt idx="195">
                  <c:v>196 gijos</c:v>
                </c:pt>
                <c:pt idx="196">
                  <c:v>197 gijos</c:v>
                </c:pt>
                <c:pt idx="197">
                  <c:v>198 gijos</c:v>
                </c:pt>
                <c:pt idx="198">
                  <c:v>199 gijos</c:v>
                </c:pt>
                <c:pt idx="199">
                  <c:v>200 gijos</c:v>
                </c:pt>
                <c:pt idx="200">
                  <c:v>201 gijos</c:v>
                </c:pt>
                <c:pt idx="201">
                  <c:v>202 gijos</c:v>
                </c:pt>
                <c:pt idx="202">
                  <c:v>203 gijos</c:v>
                </c:pt>
                <c:pt idx="203">
                  <c:v>204 gijos</c:v>
                </c:pt>
                <c:pt idx="204">
                  <c:v>205 gijos</c:v>
                </c:pt>
                <c:pt idx="205">
                  <c:v>206 gijos</c:v>
                </c:pt>
                <c:pt idx="206">
                  <c:v>207 gijos</c:v>
                </c:pt>
                <c:pt idx="207">
                  <c:v>208 gijos</c:v>
                </c:pt>
                <c:pt idx="208">
                  <c:v>209 gijos</c:v>
                </c:pt>
                <c:pt idx="209">
                  <c:v>210 gijos</c:v>
                </c:pt>
                <c:pt idx="210">
                  <c:v>211 gijos</c:v>
                </c:pt>
                <c:pt idx="211">
                  <c:v>212 gijos</c:v>
                </c:pt>
                <c:pt idx="212">
                  <c:v>213 gijos</c:v>
                </c:pt>
                <c:pt idx="213">
                  <c:v>214 gijos</c:v>
                </c:pt>
                <c:pt idx="214">
                  <c:v>215 gijos</c:v>
                </c:pt>
                <c:pt idx="215">
                  <c:v>216 gijos</c:v>
                </c:pt>
                <c:pt idx="216">
                  <c:v>217 gijos</c:v>
                </c:pt>
                <c:pt idx="217">
                  <c:v>218 gijos</c:v>
                </c:pt>
                <c:pt idx="218">
                  <c:v>219 gijos</c:v>
                </c:pt>
                <c:pt idx="219">
                  <c:v>220 gijos</c:v>
                </c:pt>
                <c:pt idx="220">
                  <c:v>221 gijos</c:v>
                </c:pt>
                <c:pt idx="221">
                  <c:v>222 gijos</c:v>
                </c:pt>
                <c:pt idx="222">
                  <c:v>223 gijos</c:v>
                </c:pt>
                <c:pt idx="223">
                  <c:v>224 gijos</c:v>
                </c:pt>
                <c:pt idx="224">
                  <c:v>225 gijos</c:v>
                </c:pt>
                <c:pt idx="225">
                  <c:v>226 gijos</c:v>
                </c:pt>
                <c:pt idx="226">
                  <c:v>227 gijos</c:v>
                </c:pt>
                <c:pt idx="227">
                  <c:v>228 gijos</c:v>
                </c:pt>
                <c:pt idx="228">
                  <c:v>229 gijos</c:v>
                </c:pt>
                <c:pt idx="229">
                  <c:v>230 gijos</c:v>
                </c:pt>
                <c:pt idx="230">
                  <c:v>231 gijos</c:v>
                </c:pt>
                <c:pt idx="231">
                  <c:v>232 gijos</c:v>
                </c:pt>
                <c:pt idx="232">
                  <c:v>233 gijos</c:v>
                </c:pt>
                <c:pt idx="233">
                  <c:v>234 gijos</c:v>
                </c:pt>
                <c:pt idx="234">
                  <c:v>235 gijos</c:v>
                </c:pt>
                <c:pt idx="235">
                  <c:v>236 gijos</c:v>
                </c:pt>
                <c:pt idx="236">
                  <c:v>237 gijos</c:v>
                </c:pt>
                <c:pt idx="237">
                  <c:v>238 gijos</c:v>
                </c:pt>
                <c:pt idx="238">
                  <c:v>239 gijos</c:v>
                </c:pt>
                <c:pt idx="239">
                  <c:v>240 gijos</c:v>
                </c:pt>
                <c:pt idx="240">
                  <c:v>241 gijos</c:v>
                </c:pt>
                <c:pt idx="241">
                  <c:v>242 gijos</c:v>
                </c:pt>
                <c:pt idx="242">
                  <c:v>243 gijos</c:v>
                </c:pt>
                <c:pt idx="243">
                  <c:v>244 gijos</c:v>
                </c:pt>
                <c:pt idx="244">
                  <c:v>245 gijos</c:v>
                </c:pt>
                <c:pt idx="245">
                  <c:v>246 gijos</c:v>
                </c:pt>
                <c:pt idx="246">
                  <c:v>247 gijos</c:v>
                </c:pt>
                <c:pt idx="247">
                  <c:v>248 gijos</c:v>
                </c:pt>
                <c:pt idx="248">
                  <c:v>249 gijos</c:v>
                </c:pt>
                <c:pt idx="249">
                  <c:v>250 gijos</c:v>
                </c:pt>
                <c:pt idx="250">
                  <c:v>251 gijos</c:v>
                </c:pt>
                <c:pt idx="251">
                  <c:v>252 gijos</c:v>
                </c:pt>
                <c:pt idx="252">
                  <c:v>253 gijos</c:v>
                </c:pt>
                <c:pt idx="253">
                  <c:v>254 gijos</c:v>
                </c:pt>
                <c:pt idx="254">
                  <c:v>255 gijos</c:v>
                </c:pt>
                <c:pt idx="255">
                  <c:v>256 gijos</c:v>
                </c:pt>
              </c:strCache>
            </c:strRef>
          </c:cat>
          <c:val>
            <c:numRef>
              <c:f>'lab4'!$F$3:$F$258</c:f>
              <c:numCache>
                <c:formatCode>0.00</c:formatCode>
                <c:ptCount val="256"/>
                <c:pt idx="0">
                  <c:v>1</c:v>
                </c:pt>
                <c:pt idx="1">
                  <c:v>1.9187861453262767</c:v>
                </c:pt>
                <c:pt idx="3">
                  <c:v>3.2967692189066238</c:v>
                </c:pt>
                <c:pt idx="7">
                  <c:v>5.492356704262261</c:v>
                </c:pt>
                <c:pt idx="15">
                  <c:v>8.2511482496429807</c:v>
                </c:pt>
                <c:pt idx="31">
                  <c:v>8.6400953817966268</c:v>
                </c:pt>
                <c:pt idx="63">
                  <c:v>9.0978820592115532</c:v>
                </c:pt>
                <c:pt idx="127">
                  <c:v>9.7858766803485047</c:v>
                </c:pt>
                <c:pt idx="255">
                  <c:v>9.8679375923190555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D51-4013-A4EA-8736FA4E9435}"/>
            </c:ext>
          </c:extLst>
        </c:ser>
        <c:ser>
          <c:idx val="3"/>
          <c:order val="3"/>
          <c:tx>
            <c:strRef>
              <c:f>'lab4'!$J$2</c:f>
              <c:strCache>
                <c:ptCount val="1"/>
                <c:pt idx="0">
                  <c:v>Realus spartėjimas 2^30</c:v>
                </c:pt>
              </c:strCache>
            </c:strRef>
          </c:tx>
          <c:spPr>
            <a:ln cmpd="sng">
              <a:solidFill>
                <a:srgbClr val="FFC000"/>
              </a:solidFill>
            </a:ln>
          </c:spPr>
          <c:cat>
            <c:strRef>
              <c:f>'lab4'!$A$3:$A$258</c:f>
              <c:strCache>
                <c:ptCount val="256"/>
                <c:pt idx="0">
                  <c:v>1 gijos</c:v>
                </c:pt>
                <c:pt idx="1">
                  <c:v>2 gijos</c:v>
                </c:pt>
                <c:pt idx="2">
                  <c:v>3 gijos</c:v>
                </c:pt>
                <c:pt idx="3">
                  <c:v>4 gijos</c:v>
                </c:pt>
                <c:pt idx="4">
                  <c:v>5 gijos</c:v>
                </c:pt>
                <c:pt idx="5">
                  <c:v>6 gijos</c:v>
                </c:pt>
                <c:pt idx="6">
                  <c:v>7 gijos</c:v>
                </c:pt>
                <c:pt idx="7">
                  <c:v>8 gijos</c:v>
                </c:pt>
                <c:pt idx="8">
                  <c:v>9 gijos</c:v>
                </c:pt>
                <c:pt idx="9">
                  <c:v>10 gijos</c:v>
                </c:pt>
                <c:pt idx="10">
                  <c:v>11 gijos</c:v>
                </c:pt>
                <c:pt idx="11">
                  <c:v>12 gijos</c:v>
                </c:pt>
                <c:pt idx="12">
                  <c:v>13 gijos</c:v>
                </c:pt>
                <c:pt idx="13">
                  <c:v>14 gijos</c:v>
                </c:pt>
                <c:pt idx="14">
                  <c:v>15 gijos</c:v>
                </c:pt>
                <c:pt idx="15">
                  <c:v>16 gijos</c:v>
                </c:pt>
                <c:pt idx="16">
                  <c:v>17 gijos</c:v>
                </c:pt>
                <c:pt idx="17">
                  <c:v>18 gijos</c:v>
                </c:pt>
                <c:pt idx="18">
                  <c:v>19 gijos</c:v>
                </c:pt>
                <c:pt idx="19">
                  <c:v>20 gijos</c:v>
                </c:pt>
                <c:pt idx="20">
                  <c:v>21 gijos</c:v>
                </c:pt>
                <c:pt idx="21">
                  <c:v>22 gijos</c:v>
                </c:pt>
                <c:pt idx="22">
                  <c:v>23 gijos</c:v>
                </c:pt>
                <c:pt idx="23">
                  <c:v>24 gijos</c:v>
                </c:pt>
                <c:pt idx="24">
                  <c:v>25 gijos</c:v>
                </c:pt>
                <c:pt idx="25">
                  <c:v>26 gijos</c:v>
                </c:pt>
                <c:pt idx="26">
                  <c:v>27 gijos</c:v>
                </c:pt>
                <c:pt idx="27">
                  <c:v>28 gijos</c:v>
                </c:pt>
                <c:pt idx="28">
                  <c:v>29 gijos</c:v>
                </c:pt>
                <c:pt idx="29">
                  <c:v>30 gijos</c:v>
                </c:pt>
                <c:pt idx="30">
                  <c:v>31 gijos</c:v>
                </c:pt>
                <c:pt idx="31">
                  <c:v>32 gijos</c:v>
                </c:pt>
                <c:pt idx="32">
                  <c:v>33 gijos</c:v>
                </c:pt>
                <c:pt idx="33">
                  <c:v>34 gijos</c:v>
                </c:pt>
                <c:pt idx="34">
                  <c:v>35 gijos</c:v>
                </c:pt>
                <c:pt idx="35">
                  <c:v>36 gijos</c:v>
                </c:pt>
                <c:pt idx="36">
                  <c:v>37 gijos</c:v>
                </c:pt>
                <c:pt idx="37">
                  <c:v>38 gijos</c:v>
                </c:pt>
                <c:pt idx="38">
                  <c:v>39 gijos</c:v>
                </c:pt>
                <c:pt idx="39">
                  <c:v>40 gijos</c:v>
                </c:pt>
                <c:pt idx="40">
                  <c:v>41 gijos</c:v>
                </c:pt>
                <c:pt idx="41">
                  <c:v>42 gijos</c:v>
                </c:pt>
                <c:pt idx="42">
                  <c:v>43 gijos</c:v>
                </c:pt>
                <c:pt idx="43">
                  <c:v>44 gijos</c:v>
                </c:pt>
                <c:pt idx="44">
                  <c:v>45 gijos</c:v>
                </c:pt>
                <c:pt idx="45">
                  <c:v>46 gijos</c:v>
                </c:pt>
                <c:pt idx="46">
                  <c:v>47 gijos</c:v>
                </c:pt>
                <c:pt idx="47">
                  <c:v>48 gijos</c:v>
                </c:pt>
                <c:pt idx="48">
                  <c:v>49 gijos</c:v>
                </c:pt>
                <c:pt idx="49">
                  <c:v>50 gijos</c:v>
                </c:pt>
                <c:pt idx="50">
                  <c:v>51 gijos</c:v>
                </c:pt>
                <c:pt idx="51">
                  <c:v>52 gijos</c:v>
                </c:pt>
                <c:pt idx="52">
                  <c:v>53 gijos</c:v>
                </c:pt>
                <c:pt idx="53">
                  <c:v>54 gijos</c:v>
                </c:pt>
                <c:pt idx="54">
                  <c:v>55 gijos</c:v>
                </c:pt>
                <c:pt idx="55">
                  <c:v>56 gijos</c:v>
                </c:pt>
                <c:pt idx="56">
                  <c:v>57 gijos</c:v>
                </c:pt>
                <c:pt idx="57">
                  <c:v>58 gijos</c:v>
                </c:pt>
                <c:pt idx="58">
                  <c:v>59 gijos</c:v>
                </c:pt>
                <c:pt idx="59">
                  <c:v>60 gijos</c:v>
                </c:pt>
                <c:pt idx="60">
                  <c:v>61 gijos</c:v>
                </c:pt>
                <c:pt idx="61">
                  <c:v>62 gijos</c:v>
                </c:pt>
                <c:pt idx="62">
                  <c:v>63 gijos</c:v>
                </c:pt>
                <c:pt idx="63">
                  <c:v>64 gijos</c:v>
                </c:pt>
                <c:pt idx="64">
                  <c:v>65 gijos</c:v>
                </c:pt>
                <c:pt idx="65">
                  <c:v>66 gijos</c:v>
                </c:pt>
                <c:pt idx="66">
                  <c:v>67 gijos</c:v>
                </c:pt>
                <c:pt idx="67">
                  <c:v>68 gijos</c:v>
                </c:pt>
                <c:pt idx="68">
                  <c:v>69 gijos</c:v>
                </c:pt>
                <c:pt idx="69">
                  <c:v>70 gijos</c:v>
                </c:pt>
                <c:pt idx="70">
                  <c:v>71 gijos</c:v>
                </c:pt>
                <c:pt idx="71">
                  <c:v>72 gijos</c:v>
                </c:pt>
                <c:pt idx="72">
                  <c:v>73 gijos</c:v>
                </c:pt>
                <c:pt idx="73">
                  <c:v>74 gijos</c:v>
                </c:pt>
                <c:pt idx="74">
                  <c:v>75 gijos</c:v>
                </c:pt>
                <c:pt idx="75">
                  <c:v>76 gijos</c:v>
                </c:pt>
                <c:pt idx="76">
                  <c:v>77 gijos</c:v>
                </c:pt>
                <c:pt idx="77">
                  <c:v>78 gijos</c:v>
                </c:pt>
                <c:pt idx="78">
                  <c:v>79 gijos</c:v>
                </c:pt>
                <c:pt idx="79">
                  <c:v>80 gijos</c:v>
                </c:pt>
                <c:pt idx="80">
                  <c:v>81 gijos</c:v>
                </c:pt>
                <c:pt idx="81">
                  <c:v>82 gijos</c:v>
                </c:pt>
                <c:pt idx="82">
                  <c:v>83 gijos</c:v>
                </c:pt>
                <c:pt idx="83">
                  <c:v>84 gijos</c:v>
                </c:pt>
                <c:pt idx="84">
                  <c:v>85 gijos</c:v>
                </c:pt>
                <c:pt idx="85">
                  <c:v>86 gijos</c:v>
                </c:pt>
                <c:pt idx="86">
                  <c:v>87 gijos</c:v>
                </c:pt>
                <c:pt idx="87">
                  <c:v>88 gijos</c:v>
                </c:pt>
                <c:pt idx="88">
                  <c:v>89 gijos</c:v>
                </c:pt>
                <c:pt idx="89">
                  <c:v>90 gijos</c:v>
                </c:pt>
                <c:pt idx="90">
                  <c:v>91 gijos</c:v>
                </c:pt>
                <c:pt idx="91">
                  <c:v>92 gijos</c:v>
                </c:pt>
                <c:pt idx="92">
                  <c:v>93 gijos</c:v>
                </c:pt>
                <c:pt idx="93">
                  <c:v>94 gijos</c:v>
                </c:pt>
                <c:pt idx="94">
                  <c:v>95 gijos</c:v>
                </c:pt>
                <c:pt idx="95">
                  <c:v>96 gijos</c:v>
                </c:pt>
                <c:pt idx="96">
                  <c:v>97 gijos</c:v>
                </c:pt>
                <c:pt idx="97">
                  <c:v>98 gijos</c:v>
                </c:pt>
                <c:pt idx="98">
                  <c:v>99 gijos</c:v>
                </c:pt>
                <c:pt idx="99">
                  <c:v>100 gijos</c:v>
                </c:pt>
                <c:pt idx="100">
                  <c:v>101 gijos</c:v>
                </c:pt>
                <c:pt idx="101">
                  <c:v>102 gijos</c:v>
                </c:pt>
                <c:pt idx="102">
                  <c:v>103 gijos</c:v>
                </c:pt>
                <c:pt idx="103">
                  <c:v>104 gijos</c:v>
                </c:pt>
                <c:pt idx="104">
                  <c:v>105 gijos</c:v>
                </c:pt>
                <c:pt idx="105">
                  <c:v>106 gijos</c:v>
                </c:pt>
                <c:pt idx="106">
                  <c:v>107 gijos</c:v>
                </c:pt>
                <c:pt idx="107">
                  <c:v>108 gijos</c:v>
                </c:pt>
                <c:pt idx="108">
                  <c:v>109 gijos</c:v>
                </c:pt>
                <c:pt idx="109">
                  <c:v>110 gijos</c:v>
                </c:pt>
                <c:pt idx="110">
                  <c:v>111 gijos</c:v>
                </c:pt>
                <c:pt idx="111">
                  <c:v>112 gijos</c:v>
                </c:pt>
                <c:pt idx="112">
                  <c:v>113 gijos</c:v>
                </c:pt>
                <c:pt idx="113">
                  <c:v>114 gijos</c:v>
                </c:pt>
                <c:pt idx="114">
                  <c:v>115 gijos</c:v>
                </c:pt>
                <c:pt idx="115">
                  <c:v>116 gijos</c:v>
                </c:pt>
                <c:pt idx="116">
                  <c:v>117 gijos</c:v>
                </c:pt>
                <c:pt idx="117">
                  <c:v>118 gijos</c:v>
                </c:pt>
                <c:pt idx="118">
                  <c:v>119 gijos</c:v>
                </c:pt>
                <c:pt idx="119">
                  <c:v>120 gijos</c:v>
                </c:pt>
                <c:pt idx="120">
                  <c:v>121 gijos</c:v>
                </c:pt>
                <c:pt idx="121">
                  <c:v>122 gijos</c:v>
                </c:pt>
                <c:pt idx="122">
                  <c:v>123 gijos</c:v>
                </c:pt>
                <c:pt idx="123">
                  <c:v>124 gijos</c:v>
                </c:pt>
                <c:pt idx="124">
                  <c:v>125 gijos</c:v>
                </c:pt>
                <c:pt idx="125">
                  <c:v>126 gijos</c:v>
                </c:pt>
                <c:pt idx="126">
                  <c:v>127 gijos</c:v>
                </c:pt>
                <c:pt idx="127">
                  <c:v>128 gijos</c:v>
                </c:pt>
                <c:pt idx="128">
                  <c:v>129 gijos</c:v>
                </c:pt>
                <c:pt idx="129">
                  <c:v>130 gijos</c:v>
                </c:pt>
                <c:pt idx="130">
                  <c:v>131 gijos</c:v>
                </c:pt>
                <c:pt idx="131">
                  <c:v>132 gijos</c:v>
                </c:pt>
                <c:pt idx="132">
                  <c:v>133 gijos</c:v>
                </c:pt>
                <c:pt idx="133">
                  <c:v>134 gijos</c:v>
                </c:pt>
                <c:pt idx="134">
                  <c:v>135 gijos</c:v>
                </c:pt>
                <c:pt idx="135">
                  <c:v>136 gijos</c:v>
                </c:pt>
                <c:pt idx="136">
                  <c:v>137 gijos</c:v>
                </c:pt>
                <c:pt idx="137">
                  <c:v>138 gijos</c:v>
                </c:pt>
                <c:pt idx="138">
                  <c:v>139 gijos</c:v>
                </c:pt>
                <c:pt idx="139">
                  <c:v>140 gijos</c:v>
                </c:pt>
                <c:pt idx="140">
                  <c:v>141 gijos</c:v>
                </c:pt>
                <c:pt idx="141">
                  <c:v>142 gijos</c:v>
                </c:pt>
                <c:pt idx="142">
                  <c:v>143 gijos</c:v>
                </c:pt>
                <c:pt idx="143">
                  <c:v>144 gijos</c:v>
                </c:pt>
                <c:pt idx="144">
                  <c:v>145 gijos</c:v>
                </c:pt>
                <c:pt idx="145">
                  <c:v>146 gijos</c:v>
                </c:pt>
                <c:pt idx="146">
                  <c:v>147 gijos</c:v>
                </c:pt>
                <c:pt idx="147">
                  <c:v>148 gijos</c:v>
                </c:pt>
                <c:pt idx="148">
                  <c:v>149 gijos</c:v>
                </c:pt>
                <c:pt idx="149">
                  <c:v>150 gijos</c:v>
                </c:pt>
                <c:pt idx="150">
                  <c:v>151 gijos</c:v>
                </c:pt>
                <c:pt idx="151">
                  <c:v>152 gijos</c:v>
                </c:pt>
                <c:pt idx="152">
                  <c:v>153 gijos</c:v>
                </c:pt>
                <c:pt idx="153">
                  <c:v>154 gijos</c:v>
                </c:pt>
                <c:pt idx="154">
                  <c:v>155 gijos</c:v>
                </c:pt>
                <c:pt idx="155">
                  <c:v>156 gijos</c:v>
                </c:pt>
                <c:pt idx="156">
                  <c:v>157 gijos</c:v>
                </c:pt>
                <c:pt idx="157">
                  <c:v>158 gijos</c:v>
                </c:pt>
                <c:pt idx="158">
                  <c:v>159 gijos</c:v>
                </c:pt>
                <c:pt idx="159">
                  <c:v>160 gijos</c:v>
                </c:pt>
                <c:pt idx="160">
                  <c:v>161 gijos</c:v>
                </c:pt>
                <c:pt idx="161">
                  <c:v>162 gijos</c:v>
                </c:pt>
                <c:pt idx="162">
                  <c:v>163 gijos</c:v>
                </c:pt>
                <c:pt idx="163">
                  <c:v>164 gijos</c:v>
                </c:pt>
                <c:pt idx="164">
                  <c:v>165 gijos</c:v>
                </c:pt>
                <c:pt idx="165">
                  <c:v>166 gijos</c:v>
                </c:pt>
                <c:pt idx="166">
                  <c:v>167 gijos</c:v>
                </c:pt>
                <c:pt idx="167">
                  <c:v>168 gijos</c:v>
                </c:pt>
                <c:pt idx="168">
                  <c:v>169 gijos</c:v>
                </c:pt>
                <c:pt idx="169">
                  <c:v>170 gijos</c:v>
                </c:pt>
                <c:pt idx="170">
                  <c:v>171 gijos</c:v>
                </c:pt>
                <c:pt idx="171">
                  <c:v>172 gijos</c:v>
                </c:pt>
                <c:pt idx="172">
                  <c:v>173 gijos</c:v>
                </c:pt>
                <c:pt idx="173">
                  <c:v>174 gijos</c:v>
                </c:pt>
                <c:pt idx="174">
                  <c:v>175 gijos</c:v>
                </c:pt>
                <c:pt idx="175">
                  <c:v>176 gijos</c:v>
                </c:pt>
                <c:pt idx="176">
                  <c:v>177 gijos</c:v>
                </c:pt>
                <c:pt idx="177">
                  <c:v>178 gijos</c:v>
                </c:pt>
                <c:pt idx="178">
                  <c:v>179 gijos</c:v>
                </c:pt>
                <c:pt idx="179">
                  <c:v>180 gijos</c:v>
                </c:pt>
                <c:pt idx="180">
                  <c:v>181 gijos</c:v>
                </c:pt>
                <c:pt idx="181">
                  <c:v>182 gijos</c:v>
                </c:pt>
                <c:pt idx="182">
                  <c:v>183 gijos</c:v>
                </c:pt>
                <c:pt idx="183">
                  <c:v>184 gijos</c:v>
                </c:pt>
                <c:pt idx="184">
                  <c:v>185 gijos</c:v>
                </c:pt>
                <c:pt idx="185">
                  <c:v>186 gijos</c:v>
                </c:pt>
                <c:pt idx="186">
                  <c:v>187 gijos</c:v>
                </c:pt>
                <c:pt idx="187">
                  <c:v>188 gijos</c:v>
                </c:pt>
                <c:pt idx="188">
                  <c:v>189 gijos</c:v>
                </c:pt>
                <c:pt idx="189">
                  <c:v>190 gijos</c:v>
                </c:pt>
                <c:pt idx="190">
                  <c:v>191 gijos</c:v>
                </c:pt>
                <c:pt idx="191">
                  <c:v>192 gijos</c:v>
                </c:pt>
                <c:pt idx="192">
                  <c:v>193 gijos</c:v>
                </c:pt>
                <c:pt idx="193">
                  <c:v>194 gijos</c:v>
                </c:pt>
                <c:pt idx="194">
                  <c:v>195 gijos</c:v>
                </c:pt>
                <c:pt idx="195">
                  <c:v>196 gijos</c:v>
                </c:pt>
                <c:pt idx="196">
                  <c:v>197 gijos</c:v>
                </c:pt>
                <c:pt idx="197">
                  <c:v>198 gijos</c:v>
                </c:pt>
                <c:pt idx="198">
                  <c:v>199 gijos</c:v>
                </c:pt>
                <c:pt idx="199">
                  <c:v>200 gijos</c:v>
                </c:pt>
                <c:pt idx="200">
                  <c:v>201 gijos</c:v>
                </c:pt>
                <c:pt idx="201">
                  <c:v>202 gijos</c:v>
                </c:pt>
                <c:pt idx="202">
                  <c:v>203 gijos</c:v>
                </c:pt>
                <c:pt idx="203">
                  <c:v>204 gijos</c:v>
                </c:pt>
                <c:pt idx="204">
                  <c:v>205 gijos</c:v>
                </c:pt>
                <c:pt idx="205">
                  <c:v>206 gijos</c:v>
                </c:pt>
                <c:pt idx="206">
                  <c:v>207 gijos</c:v>
                </c:pt>
                <c:pt idx="207">
                  <c:v>208 gijos</c:v>
                </c:pt>
                <c:pt idx="208">
                  <c:v>209 gijos</c:v>
                </c:pt>
                <c:pt idx="209">
                  <c:v>210 gijos</c:v>
                </c:pt>
                <c:pt idx="210">
                  <c:v>211 gijos</c:v>
                </c:pt>
                <c:pt idx="211">
                  <c:v>212 gijos</c:v>
                </c:pt>
                <c:pt idx="212">
                  <c:v>213 gijos</c:v>
                </c:pt>
                <c:pt idx="213">
                  <c:v>214 gijos</c:v>
                </c:pt>
                <c:pt idx="214">
                  <c:v>215 gijos</c:v>
                </c:pt>
                <c:pt idx="215">
                  <c:v>216 gijos</c:v>
                </c:pt>
                <c:pt idx="216">
                  <c:v>217 gijos</c:v>
                </c:pt>
                <c:pt idx="217">
                  <c:v>218 gijos</c:v>
                </c:pt>
                <c:pt idx="218">
                  <c:v>219 gijos</c:v>
                </c:pt>
                <c:pt idx="219">
                  <c:v>220 gijos</c:v>
                </c:pt>
                <c:pt idx="220">
                  <c:v>221 gijos</c:v>
                </c:pt>
                <c:pt idx="221">
                  <c:v>222 gijos</c:v>
                </c:pt>
                <c:pt idx="222">
                  <c:v>223 gijos</c:v>
                </c:pt>
                <c:pt idx="223">
                  <c:v>224 gijos</c:v>
                </c:pt>
                <c:pt idx="224">
                  <c:v>225 gijos</c:v>
                </c:pt>
                <c:pt idx="225">
                  <c:v>226 gijos</c:v>
                </c:pt>
                <c:pt idx="226">
                  <c:v>227 gijos</c:v>
                </c:pt>
                <c:pt idx="227">
                  <c:v>228 gijos</c:v>
                </c:pt>
                <c:pt idx="228">
                  <c:v>229 gijos</c:v>
                </c:pt>
                <c:pt idx="229">
                  <c:v>230 gijos</c:v>
                </c:pt>
                <c:pt idx="230">
                  <c:v>231 gijos</c:v>
                </c:pt>
                <c:pt idx="231">
                  <c:v>232 gijos</c:v>
                </c:pt>
                <c:pt idx="232">
                  <c:v>233 gijos</c:v>
                </c:pt>
                <c:pt idx="233">
                  <c:v>234 gijos</c:v>
                </c:pt>
                <c:pt idx="234">
                  <c:v>235 gijos</c:v>
                </c:pt>
                <c:pt idx="235">
                  <c:v>236 gijos</c:v>
                </c:pt>
                <c:pt idx="236">
                  <c:v>237 gijos</c:v>
                </c:pt>
                <c:pt idx="237">
                  <c:v>238 gijos</c:v>
                </c:pt>
                <c:pt idx="238">
                  <c:v>239 gijos</c:v>
                </c:pt>
                <c:pt idx="239">
                  <c:v>240 gijos</c:v>
                </c:pt>
                <c:pt idx="240">
                  <c:v>241 gijos</c:v>
                </c:pt>
                <c:pt idx="241">
                  <c:v>242 gijos</c:v>
                </c:pt>
                <c:pt idx="242">
                  <c:v>243 gijos</c:v>
                </c:pt>
                <c:pt idx="243">
                  <c:v>244 gijos</c:v>
                </c:pt>
                <c:pt idx="244">
                  <c:v>245 gijos</c:v>
                </c:pt>
                <c:pt idx="245">
                  <c:v>246 gijos</c:v>
                </c:pt>
                <c:pt idx="246">
                  <c:v>247 gijos</c:v>
                </c:pt>
                <c:pt idx="247">
                  <c:v>248 gijos</c:v>
                </c:pt>
                <c:pt idx="248">
                  <c:v>249 gijos</c:v>
                </c:pt>
                <c:pt idx="249">
                  <c:v>250 gijos</c:v>
                </c:pt>
                <c:pt idx="250">
                  <c:v>251 gijos</c:v>
                </c:pt>
                <c:pt idx="251">
                  <c:v>252 gijos</c:v>
                </c:pt>
                <c:pt idx="252">
                  <c:v>253 gijos</c:v>
                </c:pt>
                <c:pt idx="253">
                  <c:v>254 gijos</c:v>
                </c:pt>
                <c:pt idx="254">
                  <c:v>255 gijos</c:v>
                </c:pt>
                <c:pt idx="255">
                  <c:v>256 gijos</c:v>
                </c:pt>
              </c:strCache>
            </c:strRef>
          </c:cat>
          <c:val>
            <c:numRef>
              <c:f>'lab4'!$J$3:$J$258</c:f>
              <c:numCache>
                <c:formatCode>0.00</c:formatCode>
                <c:ptCount val="256"/>
                <c:pt idx="0">
                  <c:v>1</c:v>
                </c:pt>
                <c:pt idx="1">
                  <c:v>1.92</c:v>
                </c:pt>
                <c:pt idx="3">
                  <c:v>1.9229810890228121</c:v>
                </c:pt>
                <c:pt idx="7">
                  <c:v>3.3038647419505844</c:v>
                </c:pt>
                <c:pt idx="15">
                  <c:v>4.6426597270886525</c:v>
                </c:pt>
                <c:pt idx="31">
                  <c:v>5.2577104859955162</c:v>
                </c:pt>
                <c:pt idx="63">
                  <c:v>7.2079835458443089</c:v>
                </c:pt>
                <c:pt idx="127">
                  <c:v>7.2928785754982597</c:v>
                </c:pt>
                <c:pt idx="255">
                  <c:v>7.4880842955182221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D51-4013-A4EA-8736FA4E9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089372"/>
        <c:axId val="850344654"/>
      </c:lineChart>
      <c:catAx>
        <c:axId val="21320893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lt-LT" b="0">
                    <a:solidFill>
                      <a:srgbClr val="000000"/>
                    </a:solidFill>
                    <a:latin typeface="+mn-lt"/>
                  </a:rPr>
                  <a:t>gijos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lt-LT"/>
          </a:p>
        </c:txPr>
        <c:crossAx val="850344654"/>
        <c:crosses val="autoZero"/>
        <c:auto val="1"/>
        <c:lblAlgn val="ctr"/>
        <c:lblOffset val="100"/>
        <c:noMultiLvlLbl val="1"/>
      </c:catAx>
      <c:valAx>
        <c:axId val="850344654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lt-LT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lt-LT"/>
          </a:p>
        </c:txPr>
        <c:crossAx val="2132089372"/>
        <c:crosses val="autoZero"/>
        <c:crossBetween val="between"/>
        <c:majorUnit val="1"/>
        <c:minorUnit val="0.333333333333333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lt-LT"/>
        </a:p>
      </c:txPr>
    </c:legend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38</xdr:row>
      <xdr:rowOff>19050</xdr:rowOff>
    </xdr:from>
    <xdr:ext cx="9820275" cy="61055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314325</xdr:colOff>
      <xdr:row>17</xdr:row>
      <xdr:rowOff>152400</xdr:rowOff>
    </xdr:from>
    <xdr:ext cx="17649825" cy="6419850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822"/>
  <sheetViews>
    <sheetView workbookViewId="0">
      <selection activeCell="M31" sqref="M31"/>
    </sheetView>
  </sheetViews>
  <sheetFormatPr defaultColWidth="14.42578125" defaultRowHeight="15" customHeight="1" x14ac:dyDescent="0.25"/>
  <cols>
    <col min="1" max="1" width="18" customWidth="1"/>
    <col min="2" max="7" width="18.42578125" customWidth="1"/>
    <col min="8" max="8" width="18.5703125" customWidth="1"/>
    <col min="9" max="9" width="19.42578125" customWidth="1"/>
    <col min="10" max="34" width="8.7109375" customWidth="1"/>
  </cols>
  <sheetData>
    <row r="1" spans="1:9" x14ac:dyDescent="0.25">
      <c r="A1" s="29" t="s">
        <v>0</v>
      </c>
      <c r="B1" s="30"/>
      <c r="C1" s="30"/>
      <c r="D1" s="30"/>
      <c r="E1" s="30"/>
      <c r="F1" s="30"/>
      <c r="G1" s="30"/>
      <c r="H1" s="30"/>
      <c r="I1" s="31"/>
    </row>
    <row r="2" spans="1:9" x14ac:dyDescent="0.25">
      <c r="A2" s="1" t="s">
        <v>1</v>
      </c>
      <c r="B2" s="2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x14ac:dyDescent="0.25">
      <c r="A3" s="3" t="s">
        <v>10</v>
      </c>
      <c r="B3" s="4">
        <v>1</v>
      </c>
      <c r="C3" s="4">
        <v>1</v>
      </c>
      <c r="D3" s="4">
        <v>0</v>
      </c>
      <c r="E3" s="4">
        <v>0</v>
      </c>
      <c r="F3" s="4">
        <v>1</v>
      </c>
      <c r="G3" s="4">
        <v>1</v>
      </c>
      <c r="H3" s="4">
        <v>2</v>
      </c>
      <c r="I3" s="5">
        <v>4</v>
      </c>
    </row>
    <row r="4" spans="1:9" x14ac:dyDescent="0.25">
      <c r="A4" s="3" t="s">
        <v>11</v>
      </c>
      <c r="B4" s="4">
        <v>2</v>
      </c>
      <c r="C4" s="4">
        <v>1</v>
      </c>
      <c r="D4" s="4">
        <v>1</v>
      </c>
      <c r="E4" s="4">
        <v>1</v>
      </c>
      <c r="F4" s="4">
        <v>1</v>
      </c>
      <c r="G4" s="4">
        <v>1</v>
      </c>
      <c r="H4" s="4">
        <v>2</v>
      </c>
      <c r="I4" s="5">
        <v>5</v>
      </c>
    </row>
    <row r="5" spans="1:9" x14ac:dyDescent="0.25">
      <c r="A5" s="3" t="s">
        <v>12</v>
      </c>
      <c r="B5" s="4">
        <v>5</v>
      </c>
      <c r="C5" s="4">
        <v>3</v>
      </c>
      <c r="D5" s="4">
        <v>3</v>
      </c>
      <c r="E5" s="4">
        <v>3</v>
      </c>
      <c r="F5" s="4">
        <v>2</v>
      </c>
      <c r="G5" s="4">
        <v>2</v>
      </c>
      <c r="H5" s="4">
        <v>3</v>
      </c>
      <c r="I5" s="5">
        <v>3</v>
      </c>
    </row>
    <row r="6" spans="1:9" x14ac:dyDescent="0.25">
      <c r="A6" s="3" t="s">
        <v>13</v>
      </c>
      <c r="B6" s="4">
        <v>12</v>
      </c>
      <c r="C6" s="4">
        <v>6</v>
      </c>
      <c r="D6" s="4">
        <v>6</v>
      </c>
      <c r="E6" s="4">
        <v>6</v>
      </c>
      <c r="F6" s="4">
        <v>4</v>
      </c>
      <c r="G6" s="4">
        <v>4</v>
      </c>
      <c r="H6" s="4">
        <v>4</v>
      </c>
      <c r="I6" s="5">
        <v>6</v>
      </c>
    </row>
    <row r="7" spans="1:9" x14ac:dyDescent="0.25">
      <c r="A7" s="3" t="s">
        <v>14</v>
      </c>
      <c r="B7" s="4">
        <v>23</v>
      </c>
      <c r="C7" s="4">
        <v>12</v>
      </c>
      <c r="D7" s="4">
        <v>12</v>
      </c>
      <c r="E7" s="4">
        <v>12</v>
      </c>
      <c r="F7" s="4">
        <v>8</v>
      </c>
      <c r="G7" s="4">
        <v>8</v>
      </c>
      <c r="H7" s="4">
        <v>7</v>
      </c>
      <c r="I7" s="5">
        <v>8</v>
      </c>
    </row>
    <row r="8" spans="1:9" x14ac:dyDescent="0.25">
      <c r="A8" s="3" t="s">
        <v>15</v>
      </c>
      <c r="B8" s="4">
        <v>54</v>
      </c>
      <c r="C8" s="4">
        <v>30</v>
      </c>
      <c r="D8" s="4">
        <v>26</v>
      </c>
      <c r="E8" s="4">
        <v>29</v>
      </c>
      <c r="F8" s="4">
        <v>16</v>
      </c>
      <c r="G8" s="4">
        <v>15</v>
      </c>
      <c r="H8" s="4">
        <v>12</v>
      </c>
      <c r="I8" s="5">
        <v>12</v>
      </c>
    </row>
    <row r="9" spans="1:9" x14ac:dyDescent="0.25">
      <c r="A9" s="3" t="s">
        <v>16</v>
      </c>
      <c r="B9" s="4">
        <v>112</v>
      </c>
      <c r="C9" s="4">
        <v>58</v>
      </c>
      <c r="D9" s="4">
        <v>53</v>
      </c>
      <c r="E9" s="4">
        <v>58</v>
      </c>
      <c r="F9" s="4">
        <v>33</v>
      </c>
      <c r="G9" s="4">
        <v>34</v>
      </c>
      <c r="H9" s="4">
        <v>23</v>
      </c>
      <c r="I9" s="5">
        <v>21</v>
      </c>
    </row>
    <row r="10" spans="1:9" x14ac:dyDescent="0.25">
      <c r="A10" s="3" t="s">
        <v>17</v>
      </c>
      <c r="B10" s="4">
        <v>205</v>
      </c>
      <c r="C10" s="4">
        <v>111</v>
      </c>
      <c r="D10" s="4">
        <v>118</v>
      </c>
      <c r="E10" s="4">
        <v>110</v>
      </c>
      <c r="F10" s="4">
        <v>68</v>
      </c>
      <c r="G10" s="4">
        <v>63</v>
      </c>
      <c r="H10" s="4">
        <v>42</v>
      </c>
      <c r="I10" s="5">
        <v>35</v>
      </c>
    </row>
    <row r="11" spans="1:9" x14ac:dyDescent="0.25">
      <c r="A11" s="3" t="s">
        <v>18</v>
      </c>
      <c r="B11" s="4">
        <v>429</v>
      </c>
      <c r="C11" s="4">
        <v>218</v>
      </c>
      <c r="D11" s="4">
        <v>233</v>
      </c>
      <c r="E11" s="4">
        <v>220</v>
      </c>
      <c r="F11" s="4">
        <v>138</v>
      </c>
      <c r="G11" s="4">
        <v>130</v>
      </c>
      <c r="H11" s="4">
        <v>82</v>
      </c>
      <c r="I11" s="5">
        <v>60</v>
      </c>
    </row>
    <row r="12" spans="1:9" x14ac:dyDescent="0.25">
      <c r="A12" s="3" t="s">
        <v>19</v>
      </c>
      <c r="B12" s="4">
        <v>940</v>
      </c>
      <c r="C12" s="4">
        <v>501</v>
      </c>
      <c r="D12" s="4">
        <v>481</v>
      </c>
      <c r="E12" s="4">
        <v>505</v>
      </c>
      <c r="F12" s="4">
        <v>271</v>
      </c>
      <c r="G12" s="4">
        <v>282</v>
      </c>
      <c r="H12" s="4">
        <v>175</v>
      </c>
      <c r="I12" s="5">
        <v>129</v>
      </c>
    </row>
    <row r="13" spans="1:9" x14ac:dyDescent="0.25">
      <c r="A13" s="3" t="s">
        <v>20</v>
      </c>
      <c r="B13" s="4">
        <v>1941</v>
      </c>
      <c r="C13" s="4">
        <v>1005</v>
      </c>
      <c r="D13" s="4">
        <v>978</v>
      </c>
      <c r="E13" s="4">
        <v>999</v>
      </c>
      <c r="F13" s="4">
        <v>560</v>
      </c>
      <c r="G13" s="4">
        <v>557</v>
      </c>
      <c r="H13" s="4">
        <v>353</v>
      </c>
      <c r="I13" s="5">
        <v>269</v>
      </c>
    </row>
    <row r="14" spans="1:9" x14ac:dyDescent="0.25">
      <c r="A14" s="6" t="s">
        <v>21</v>
      </c>
      <c r="B14" s="7">
        <v>3920</v>
      </c>
      <c r="C14" s="7">
        <v>2066</v>
      </c>
      <c r="D14" s="7">
        <v>2057</v>
      </c>
      <c r="E14" s="7">
        <v>2061</v>
      </c>
      <c r="F14" s="7">
        <v>1134</v>
      </c>
      <c r="G14" s="7">
        <v>1168</v>
      </c>
      <c r="H14" s="7">
        <v>720</v>
      </c>
      <c r="I14" s="8">
        <v>558</v>
      </c>
    </row>
    <row r="16" spans="1:9" ht="15.75" customHeight="1" x14ac:dyDescent="0.25"/>
    <row r="17" spans="1:33" ht="15.75" customHeight="1" x14ac:dyDescent="0.25"/>
    <row r="18" spans="1:33" ht="15.75" customHeight="1" x14ac:dyDescent="0.25">
      <c r="B18" s="4">
        <v>1</v>
      </c>
      <c r="C18" s="4">
        <v>2</v>
      </c>
      <c r="D18" s="4">
        <v>3</v>
      </c>
      <c r="E18" s="4">
        <v>4</v>
      </c>
      <c r="F18" s="4">
        <v>5</v>
      </c>
      <c r="G18" s="4">
        <v>6</v>
      </c>
      <c r="H18" s="4">
        <v>7</v>
      </c>
      <c r="I18" s="4">
        <v>8</v>
      </c>
      <c r="J18" s="4">
        <v>9</v>
      </c>
      <c r="K18" s="4">
        <v>10</v>
      </c>
      <c r="L18" s="4">
        <v>11</v>
      </c>
      <c r="M18" s="4">
        <v>12</v>
      </c>
      <c r="N18" s="4">
        <v>13</v>
      </c>
      <c r="O18" s="4">
        <v>14</v>
      </c>
      <c r="P18" s="4">
        <v>15</v>
      </c>
      <c r="Q18" s="4">
        <v>16</v>
      </c>
      <c r="R18" s="4">
        <v>17</v>
      </c>
      <c r="S18" s="4">
        <v>18</v>
      </c>
      <c r="T18" s="4">
        <v>19</v>
      </c>
      <c r="U18" s="4">
        <v>20</v>
      </c>
      <c r="V18" s="4">
        <v>21</v>
      </c>
      <c r="W18" s="4">
        <v>22</v>
      </c>
      <c r="X18" s="4">
        <v>23</v>
      </c>
      <c r="Y18" s="4">
        <v>24</v>
      </c>
      <c r="Z18" s="4">
        <v>25</v>
      </c>
      <c r="AA18" s="4">
        <v>26</v>
      </c>
      <c r="AB18" s="4">
        <v>27</v>
      </c>
      <c r="AC18" s="4">
        <v>28</v>
      </c>
      <c r="AD18" s="4">
        <v>29</v>
      </c>
      <c r="AE18" s="4">
        <v>30</v>
      </c>
      <c r="AF18" s="4">
        <v>31</v>
      </c>
      <c r="AG18" s="4">
        <v>32</v>
      </c>
    </row>
    <row r="19" spans="1:33" ht="15.75" customHeight="1" x14ac:dyDescent="0.25">
      <c r="A19" s="1" t="s">
        <v>22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15.75" customHeight="1" x14ac:dyDescent="0.25">
      <c r="A20" s="9" t="s">
        <v>23</v>
      </c>
      <c r="B20" s="9" t="str">
        <f>_xlfn.CONCAT(B18," gijos")</f>
        <v>1 gijos</v>
      </c>
      <c r="C20" s="9" t="str">
        <f t="shared" ref="C20:AG20" si="0">_xlfn.CONCAT(C18," gijos")</f>
        <v>2 gijos</v>
      </c>
      <c r="D20" s="9" t="str">
        <f t="shared" si="0"/>
        <v>3 gijos</v>
      </c>
      <c r="E20" s="9" t="str">
        <f t="shared" si="0"/>
        <v>4 gijos</v>
      </c>
      <c r="F20" s="9" t="str">
        <f t="shared" si="0"/>
        <v>5 gijos</v>
      </c>
      <c r="G20" s="9" t="str">
        <f t="shared" si="0"/>
        <v>6 gijos</v>
      </c>
      <c r="H20" s="9" t="str">
        <f t="shared" si="0"/>
        <v>7 gijos</v>
      </c>
      <c r="I20" s="9" t="str">
        <f t="shared" si="0"/>
        <v>8 gijos</v>
      </c>
      <c r="J20" s="9" t="str">
        <f t="shared" si="0"/>
        <v>9 gijos</v>
      </c>
      <c r="K20" s="9" t="str">
        <f t="shared" si="0"/>
        <v>10 gijos</v>
      </c>
      <c r="L20" s="9" t="str">
        <f t="shared" si="0"/>
        <v>11 gijos</v>
      </c>
      <c r="M20" s="9" t="str">
        <f t="shared" si="0"/>
        <v>12 gijos</v>
      </c>
      <c r="N20" s="9" t="str">
        <f t="shared" si="0"/>
        <v>13 gijos</v>
      </c>
      <c r="O20" s="9" t="str">
        <f t="shared" si="0"/>
        <v>14 gijos</v>
      </c>
      <c r="P20" s="9" t="str">
        <f t="shared" si="0"/>
        <v>15 gijos</v>
      </c>
      <c r="Q20" s="9" t="str">
        <f t="shared" si="0"/>
        <v>16 gijos</v>
      </c>
      <c r="R20" s="9" t="str">
        <f t="shared" si="0"/>
        <v>17 gijos</v>
      </c>
      <c r="S20" s="9" t="str">
        <f t="shared" si="0"/>
        <v>18 gijos</v>
      </c>
      <c r="T20" s="9" t="str">
        <f t="shared" si="0"/>
        <v>19 gijos</v>
      </c>
      <c r="U20" s="9" t="str">
        <f t="shared" si="0"/>
        <v>20 gijos</v>
      </c>
      <c r="V20" s="9" t="str">
        <f t="shared" si="0"/>
        <v>21 gijos</v>
      </c>
      <c r="W20" s="9" t="str">
        <f t="shared" si="0"/>
        <v>22 gijos</v>
      </c>
      <c r="X20" s="9" t="str">
        <f t="shared" si="0"/>
        <v>23 gijos</v>
      </c>
      <c r="Y20" s="9" t="str">
        <f t="shared" si="0"/>
        <v>24 gijos</v>
      </c>
      <c r="Z20" s="9" t="str">
        <f t="shared" si="0"/>
        <v>25 gijos</v>
      </c>
      <c r="AA20" s="9" t="str">
        <f t="shared" si="0"/>
        <v>26 gijos</v>
      </c>
      <c r="AB20" s="9" t="str">
        <f t="shared" si="0"/>
        <v>27 gijos</v>
      </c>
      <c r="AC20" s="9" t="str">
        <f t="shared" si="0"/>
        <v>28 gijos</v>
      </c>
      <c r="AD20" s="9" t="str">
        <f t="shared" si="0"/>
        <v>29 gijos</v>
      </c>
      <c r="AE20" s="9" t="str">
        <f t="shared" si="0"/>
        <v>30 gijos</v>
      </c>
      <c r="AF20" s="9" t="str">
        <f t="shared" si="0"/>
        <v>31 gijos</v>
      </c>
      <c r="AG20" s="9" t="str">
        <f t="shared" si="0"/>
        <v>32 gijos</v>
      </c>
    </row>
    <row r="21" spans="1:33" ht="15.75" customHeight="1" x14ac:dyDescent="0.25">
      <c r="A21" s="3" t="str">
        <f>$A14</f>
        <v xml:space="preserve">2^25 (33554432)   </v>
      </c>
      <c r="B21" s="7">
        <v>3712</v>
      </c>
      <c r="C21" s="7">
        <v>1993</v>
      </c>
      <c r="D21" s="10">
        <v>1971</v>
      </c>
      <c r="E21" s="7">
        <v>1987</v>
      </c>
      <c r="F21" s="10">
        <v>1975</v>
      </c>
      <c r="G21" s="10">
        <v>1143</v>
      </c>
      <c r="H21" s="10">
        <v>1146</v>
      </c>
      <c r="I21" s="7">
        <v>1151</v>
      </c>
      <c r="J21" s="10">
        <v>1145</v>
      </c>
      <c r="K21" s="10">
        <v>1160</v>
      </c>
      <c r="L21" s="10">
        <v>1150</v>
      </c>
      <c r="M21" s="10">
        <v>1188</v>
      </c>
      <c r="N21" s="10">
        <v>1179</v>
      </c>
      <c r="O21" s="10">
        <v>727</v>
      </c>
      <c r="P21" s="10">
        <v>746</v>
      </c>
      <c r="Q21" s="7">
        <v>723</v>
      </c>
      <c r="R21" s="10">
        <v>722</v>
      </c>
      <c r="S21" s="10">
        <v>734</v>
      </c>
      <c r="T21" s="10">
        <v>738</v>
      </c>
      <c r="U21" s="10">
        <v>732</v>
      </c>
      <c r="V21" s="10">
        <v>748</v>
      </c>
      <c r="W21" s="10">
        <v>747</v>
      </c>
      <c r="X21" s="10">
        <v>740</v>
      </c>
      <c r="Y21" s="10">
        <v>737</v>
      </c>
      <c r="Z21" s="10">
        <v>762</v>
      </c>
      <c r="AA21" s="10">
        <v>758</v>
      </c>
      <c r="AB21" s="10">
        <v>737</v>
      </c>
      <c r="AC21" s="10">
        <v>735</v>
      </c>
      <c r="AD21" s="10">
        <v>748</v>
      </c>
      <c r="AE21" s="10">
        <v>582</v>
      </c>
      <c r="AF21" s="10">
        <v>565</v>
      </c>
      <c r="AG21" s="8">
        <v>575</v>
      </c>
    </row>
    <row r="22" spans="1:33" ht="15.75" customHeight="1" x14ac:dyDescent="0.25">
      <c r="A22" s="1" t="s">
        <v>24</v>
      </c>
      <c r="B22" s="11">
        <f>B21/B21</f>
        <v>1</v>
      </c>
      <c r="C22" s="11">
        <f t="shared" ref="C22:AG22" si="1">$B$21/C21</f>
        <v>1.8625188158554942</v>
      </c>
      <c r="D22" s="12">
        <f t="shared" si="1"/>
        <v>1.8833079654997462</v>
      </c>
      <c r="E22" s="11">
        <f t="shared" si="1"/>
        <v>1.8681429290387519</v>
      </c>
      <c r="F22" s="12">
        <f t="shared" si="1"/>
        <v>1.8794936708860759</v>
      </c>
      <c r="G22" s="12">
        <f t="shared" si="1"/>
        <v>3.2475940507436571</v>
      </c>
      <c r="H22" s="12">
        <f t="shared" si="1"/>
        <v>3.2390924956369984</v>
      </c>
      <c r="I22" s="11">
        <f t="shared" si="1"/>
        <v>3.2250217202432667</v>
      </c>
      <c r="J22" s="12">
        <f t="shared" si="1"/>
        <v>3.2419213973799126</v>
      </c>
      <c r="K22" s="12">
        <f t="shared" si="1"/>
        <v>3.2</v>
      </c>
      <c r="L22" s="12">
        <f t="shared" si="1"/>
        <v>3.2278260869565218</v>
      </c>
      <c r="M22" s="12">
        <f t="shared" si="1"/>
        <v>3.1245791245791246</v>
      </c>
      <c r="N22" s="12">
        <f t="shared" si="1"/>
        <v>3.1484308736217135</v>
      </c>
      <c r="O22" s="12">
        <f t="shared" si="1"/>
        <v>5.1059147180192568</v>
      </c>
      <c r="P22" s="12">
        <f t="shared" si="1"/>
        <v>4.975871313672922</v>
      </c>
      <c r="Q22" s="11">
        <f t="shared" si="1"/>
        <v>5.1341632088520059</v>
      </c>
      <c r="R22" s="12">
        <f t="shared" si="1"/>
        <v>5.1412742382271466</v>
      </c>
      <c r="S22" s="12">
        <f t="shared" si="1"/>
        <v>5.0572207084468666</v>
      </c>
      <c r="T22" s="12">
        <f t="shared" si="1"/>
        <v>5.0298102981029809</v>
      </c>
      <c r="U22" s="12">
        <f t="shared" si="1"/>
        <v>5.0710382513661205</v>
      </c>
      <c r="V22" s="12">
        <f t="shared" si="1"/>
        <v>4.9625668449197864</v>
      </c>
      <c r="W22" s="12">
        <f t="shared" si="1"/>
        <v>4.9692101740294508</v>
      </c>
      <c r="X22" s="12">
        <f t="shared" si="1"/>
        <v>5.0162162162162165</v>
      </c>
      <c r="Y22" s="12">
        <f t="shared" si="1"/>
        <v>5.0366350067842607</v>
      </c>
      <c r="Z22" s="12">
        <f t="shared" si="1"/>
        <v>4.8713910761154855</v>
      </c>
      <c r="AA22" s="12">
        <f t="shared" si="1"/>
        <v>4.8970976253298151</v>
      </c>
      <c r="AB22" s="12">
        <f t="shared" si="1"/>
        <v>5.0366350067842607</v>
      </c>
      <c r="AC22" s="12">
        <f t="shared" si="1"/>
        <v>5.0503401360544213</v>
      </c>
      <c r="AD22" s="12">
        <f t="shared" si="1"/>
        <v>4.9625668449197864</v>
      </c>
      <c r="AE22" s="12">
        <f t="shared" si="1"/>
        <v>6.3780068728522341</v>
      </c>
      <c r="AF22" s="12">
        <f t="shared" si="1"/>
        <v>6.5699115044247787</v>
      </c>
      <c r="AG22" s="12">
        <f t="shared" si="1"/>
        <v>6.4556521739130437</v>
      </c>
    </row>
    <row r="23" spans="1:33" ht="15.75" customHeight="1" x14ac:dyDescent="0.25">
      <c r="A23" s="4" t="s">
        <v>25</v>
      </c>
      <c r="C23" s="4">
        <f>$C$28/2*LOG($C$28/2,2)+$C$28</f>
        <v>436207616</v>
      </c>
    </row>
    <row r="24" spans="1:33" ht="15.75" customHeight="1" x14ac:dyDescent="0.25">
      <c r="A24" s="1" t="s">
        <v>26</v>
      </c>
      <c r="B24" s="11">
        <f>1</f>
        <v>1</v>
      </c>
      <c r="C24" s="11">
        <f>$C$29/C30</f>
        <v>1.9230769230769231</v>
      </c>
      <c r="D24" s="13"/>
      <c r="E24" s="11">
        <f>D31</f>
        <v>3.4482758620689653</v>
      </c>
      <c r="F24" s="13"/>
      <c r="G24" s="13"/>
      <c r="H24" s="13"/>
      <c r="I24" s="11">
        <f>D32</f>
        <v>5.5555555555555554</v>
      </c>
      <c r="J24" s="13"/>
      <c r="K24" s="13"/>
      <c r="L24" s="13"/>
      <c r="M24" s="13"/>
      <c r="N24" s="13"/>
      <c r="O24" s="13"/>
      <c r="P24" s="13"/>
      <c r="Q24" s="11">
        <f>D33</f>
        <v>7.8431372549019605</v>
      </c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2"/>
      <c r="AG24" s="12">
        <f>D34</f>
        <v>9.7560975609756095</v>
      </c>
    </row>
    <row r="25" spans="1:33" x14ac:dyDescent="0.25">
      <c r="A25" s="4" t="s">
        <v>27</v>
      </c>
      <c r="C25" s="4">
        <f>$C$28*LOG($C$28,2)</f>
        <v>838860800</v>
      </c>
    </row>
    <row r="26" spans="1:33" ht="15.75" customHeight="1" x14ac:dyDescent="0.25"/>
    <row r="27" spans="1:33" ht="15.75" customHeight="1" x14ac:dyDescent="0.25"/>
    <row r="28" spans="1:33" ht="15.75" customHeight="1" x14ac:dyDescent="0.25">
      <c r="B28" s="4" t="s">
        <v>28</v>
      </c>
      <c r="C28" s="4">
        <f>2^25</f>
        <v>33554432</v>
      </c>
    </row>
    <row r="29" spans="1:33" ht="15.75" customHeight="1" x14ac:dyDescent="0.25">
      <c r="B29" s="4" t="s">
        <v>27</v>
      </c>
      <c r="C29" s="4">
        <f>$C$28*LOG($C$28,2)</f>
        <v>838860800</v>
      </c>
    </row>
    <row r="30" spans="1:33" ht="15.75" customHeight="1" x14ac:dyDescent="0.25">
      <c r="B30" s="4" t="s">
        <v>29</v>
      </c>
      <c r="C30" s="4">
        <f>$C$28/2*LOG($C$28/2,2)+$C$28</f>
        <v>436207616</v>
      </c>
      <c r="D30" s="4">
        <f t="shared" ref="D30:D34" si="2">$C$29/C30</f>
        <v>1.9230769230769231</v>
      </c>
      <c r="G30" s="14"/>
    </row>
    <row r="31" spans="1:33" ht="15.75" customHeight="1" x14ac:dyDescent="0.25">
      <c r="B31" s="4" t="s">
        <v>30</v>
      </c>
      <c r="C31" s="4">
        <f>$C$28/4*LOG($C$28/4,2)+$C$28/2+$C$28</f>
        <v>243269632</v>
      </c>
      <c r="D31" s="4">
        <f t="shared" si="2"/>
        <v>3.4482758620689653</v>
      </c>
      <c r="G31" s="14"/>
    </row>
    <row r="32" spans="1:33" ht="15.75" customHeight="1" x14ac:dyDescent="0.25">
      <c r="B32" s="4" t="s">
        <v>31</v>
      </c>
      <c r="C32" s="4">
        <f>$C$28/8*LOG($C$28/8,2)+$C$28/4+$C$28/2+$C$28</f>
        <v>150994944</v>
      </c>
      <c r="D32" s="4">
        <f t="shared" si="2"/>
        <v>5.5555555555555554</v>
      </c>
      <c r="G32" s="14"/>
    </row>
    <row r="33" spans="2:7" ht="15.75" customHeight="1" x14ac:dyDescent="0.25">
      <c r="B33" s="4" t="s">
        <v>32</v>
      </c>
      <c r="C33" s="4">
        <f>$C$28/16*LOG($C$28/16,2)+$C$28/8+$C$28/4+$C$28/2+$C$28</f>
        <v>106954752</v>
      </c>
      <c r="D33" s="4">
        <f t="shared" si="2"/>
        <v>7.8431372549019605</v>
      </c>
      <c r="G33" s="14"/>
    </row>
    <row r="34" spans="2:7" ht="15.75" customHeight="1" x14ac:dyDescent="0.25">
      <c r="B34" s="4" t="s">
        <v>33</v>
      </c>
      <c r="C34" s="4">
        <f>$C$28/32*LOG($C$28/32,2)+$C$28/16+$C$28/8+$C$28/4+$C$28/2+$C$28</f>
        <v>85983232</v>
      </c>
      <c r="D34" s="4">
        <f t="shared" si="2"/>
        <v>9.7560975609756095</v>
      </c>
      <c r="G34" s="14"/>
    </row>
    <row r="35" spans="2:7" ht="15.75" customHeight="1" x14ac:dyDescent="0.25">
      <c r="G35" s="14"/>
    </row>
    <row r="36" spans="2:7" ht="15.75" customHeight="1" x14ac:dyDescent="0.25"/>
    <row r="37" spans="2:7" ht="15.75" customHeight="1" x14ac:dyDescent="0.25"/>
    <row r="38" spans="2:7" ht="15.75" customHeight="1" x14ac:dyDescent="0.25"/>
    <row r="39" spans="2:7" ht="15.75" customHeight="1" x14ac:dyDescent="0.25"/>
    <row r="40" spans="2:7" ht="15.75" customHeight="1" x14ac:dyDescent="0.25"/>
    <row r="41" spans="2:7" ht="15.75" customHeight="1" x14ac:dyDescent="0.25"/>
    <row r="42" spans="2:7" ht="15.75" customHeight="1" x14ac:dyDescent="0.25"/>
    <row r="43" spans="2:7" ht="15.75" customHeight="1" x14ac:dyDescent="0.25"/>
    <row r="44" spans="2:7" ht="15.75" customHeight="1" x14ac:dyDescent="0.25"/>
    <row r="45" spans="2:7" ht="15.75" customHeight="1" x14ac:dyDescent="0.25"/>
    <row r="46" spans="2:7" ht="15.75" customHeight="1" x14ac:dyDescent="0.25"/>
    <row r="47" spans="2:7" ht="15.75" customHeight="1" x14ac:dyDescent="0.25"/>
    <row r="48" spans="2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</sheetData>
  <mergeCells count="1">
    <mergeCell ref="A1:I1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699"/>
  <sheetViews>
    <sheetView tabSelected="1" topLeftCell="J1" workbookViewId="0">
      <selection activeCell="AD9" sqref="AD9"/>
    </sheetView>
  </sheetViews>
  <sheetFormatPr defaultColWidth="14.42578125" defaultRowHeight="15" customHeight="1" x14ac:dyDescent="0.25"/>
  <cols>
    <col min="1" max="1" width="20.140625" customWidth="1"/>
    <col min="2" max="2" width="12.42578125" hidden="1" customWidth="1"/>
    <col min="3" max="3" width="15.5703125" hidden="1" customWidth="1"/>
    <col min="4" max="4" width="23.140625" hidden="1" customWidth="1"/>
    <col min="5" max="5" width="15.5703125" customWidth="1"/>
    <col min="6" max="6" width="22" customWidth="1"/>
    <col min="7" max="7" width="23.140625" customWidth="1"/>
    <col min="8" max="8" width="14.5703125" customWidth="1"/>
    <col min="9" max="9" width="17.7109375" customWidth="1"/>
    <col min="10" max="10" width="22" customWidth="1"/>
    <col min="11" max="11" width="23.140625" customWidth="1"/>
    <col min="12" max="12" width="14.5703125" customWidth="1"/>
    <col min="14" max="14" width="24.42578125" customWidth="1"/>
  </cols>
  <sheetData>
    <row r="1" spans="1:28" x14ac:dyDescent="0.25">
      <c r="A1" s="15"/>
      <c r="B1" s="16" t="s">
        <v>34</v>
      </c>
      <c r="C1" s="16"/>
      <c r="D1" s="16"/>
      <c r="E1" s="17" t="s">
        <v>34</v>
      </c>
      <c r="F1" s="16"/>
      <c r="G1" s="16"/>
      <c r="H1" s="16"/>
      <c r="I1" s="18"/>
      <c r="L1" s="26"/>
    </row>
    <row r="2" spans="1:28" x14ac:dyDescent="0.25">
      <c r="A2" s="15" t="s">
        <v>23</v>
      </c>
      <c r="B2" s="16" t="s">
        <v>11</v>
      </c>
      <c r="C2" s="16" t="s">
        <v>35</v>
      </c>
      <c r="D2" s="16" t="s">
        <v>36</v>
      </c>
      <c r="E2" s="17" t="s">
        <v>37</v>
      </c>
      <c r="F2" s="16" t="s">
        <v>38</v>
      </c>
      <c r="G2" s="16" t="s">
        <v>39</v>
      </c>
      <c r="H2" s="16" t="s">
        <v>40</v>
      </c>
      <c r="I2" s="17" t="s">
        <v>41</v>
      </c>
      <c r="J2" s="16" t="s">
        <v>42</v>
      </c>
      <c r="K2" s="16" t="s">
        <v>43</v>
      </c>
      <c r="L2" s="27" t="s">
        <v>44</v>
      </c>
    </row>
    <row r="3" spans="1:28" x14ac:dyDescent="0.25">
      <c r="A3" s="15" t="s">
        <v>45</v>
      </c>
      <c r="B3" s="19">
        <v>4.45</v>
      </c>
      <c r="C3" s="19">
        <f>B3/B3</f>
        <v>1</v>
      </c>
      <c r="D3" s="19">
        <v>1</v>
      </c>
      <c r="E3" s="20">
        <v>6413.37</v>
      </c>
      <c r="F3" s="19">
        <f>E3/E3</f>
        <v>1</v>
      </c>
      <c r="G3" s="19">
        <v>1</v>
      </c>
      <c r="H3" s="19">
        <f t="shared" ref="H3:H257" si="0">IF(F3,F3-G3,"")</f>
        <v>0</v>
      </c>
      <c r="I3" s="20">
        <f>I4*1.92</f>
        <v>131839.9296</v>
      </c>
      <c r="J3" s="19">
        <v>1</v>
      </c>
      <c r="K3" s="19">
        <v>1</v>
      </c>
      <c r="L3" s="25">
        <f t="shared" ref="L3:L257" si="1">IF(J3,J3-K3,"")</f>
        <v>0</v>
      </c>
      <c r="O3" s="4" t="s">
        <v>46</v>
      </c>
      <c r="T3" s="4" t="s">
        <v>47</v>
      </c>
      <c r="Y3" s="4"/>
      <c r="Z3" s="4" t="s">
        <v>48</v>
      </c>
    </row>
    <row r="4" spans="1:28" x14ac:dyDescent="0.25">
      <c r="A4" s="15" t="s">
        <v>3</v>
      </c>
      <c r="B4" s="19">
        <v>2.39</v>
      </c>
      <c r="C4" s="19">
        <f t="shared" ref="C4:C24" si="2">IF(B4&gt;0,$B$3/B4,"")</f>
        <v>1.8619246861924685</v>
      </c>
      <c r="D4" s="19">
        <f>T5/T6</f>
        <v>1.875</v>
      </c>
      <c r="E4" s="20">
        <v>3342.41</v>
      </c>
      <c r="F4" s="19">
        <f t="shared" ref="F4:F258" si="3">IF(E4&gt;0,$E$3/E4,"")</f>
        <v>1.9187861453262767</v>
      </c>
      <c r="G4" s="19">
        <f>O5/O6</f>
        <v>1.9230769230769231</v>
      </c>
      <c r="H4" s="19">
        <f t="shared" si="0"/>
        <v>-4.2907777506464573E-3</v>
      </c>
      <c r="I4" s="20">
        <v>68666.63</v>
      </c>
      <c r="J4" s="19">
        <f>IF(I4&gt;0,$I$3/I4,"")</f>
        <v>1.92</v>
      </c>
      <c r="K4" s="19">
        <f>Z5/Z6</f>
        <v>1.9354838709677418</v>
      </c>
      <c r="L4" s="25">
        <f t="shared" si="1"/>
        <v>-1.5483870967741842E-2</v>
      </c>
      <c r="N4" s="21" t="s">
        <v>28</v>
      </c>
      <c r="O4" s="22">
        <f>2^25</f>
        <v>33554432</v>
      </c>
      <c r="P4" s="21"/>
      <c r="S4" s="21" t="s">
        <v>28</v>
      </c>
      <c r="T4" s="22">
        <f>2^15</f>
        <v>32768</v>
      </c>
      <c r="U4" s="21"/>
      <c r="X4" s="21" t="s">
        <v>28</v>
      </c>
      <c r="Y4" s="22"/>
      <c r="Z4" s="22">
        <f>2^30</f>
        <v>1073741824</v>
      </c>
      <c r="AA4" s="21"/>
    </row>
    <row r="5" spans="1:28" x14ac:dyDescent="0.25">
      <c r="A5" s="15" t="s">
        <v>4</v>
      </c>
      <c r="B5" s="19"/>
      <c r="C5" s="19" t="str">
        <f t="shared" si="2"/>
        <v/>
      </c>
      <c r="D5" s="19"/>
      <c r="E5" s="20"/>
      <c r="F5" s="19"/>
      <c r="G5" s="19"/>
      <c r="H5" s="19" t="str">
        <f t="shared" si="0"/>
        <v/>
      </c>
      <c r="I5" s="20"/>
      <c r="J5" s="28"/>
      <c r="K5" s="19"/>
      <c r="L5" s="25" t="str">
        <f t="shared" si="1"/>
        <v/>
      </c>
      <c r="N5" s="21" t="s">
        <v>27</v>
      </c>
      <c r="O5" s="22">
        <f>$O$4*LOG($O$4,2)</f>
        <v>838860800</v>
      </c>
      <c r="P5" s="21"/>
      <c r="S5" s="21" t="s">
        <v>27</v>
      </c>
      <c r="T5" s="22">
        <f>$T$4*LOG($T$4,2)</f>
        <v>491520</v>
      </c>
      <c r="U5" s="21"/>
      <c r="X5" s="21" t="s">
        <v>27</v>
      </c>
      <c r="Y5" s="22"/>
      <c r="Z5" s="22">
        <f>$Z$4*LOG($Z$4,2)</f>
        <v>32212254720</v>
      </c>
      <c r="AA5" s="21"/>
    </row>
    <row r="6" spans="1:28" x14ac:dyDescent="0.25">
      <c r="A6" s="15" t="s">
        <v>5</v>
      </c>
      <c r="B6" s="19"/>
      <c r="C6" s="19" t="str">
        <f t="shared" si="2"/>
        <v/>
      </c>
      <c r="D6" s="19"/>
      <c r="E6" s="20">
        <v>1945.35</v>
      </c>
      <c r="F6" s="19">
        <f t="shared" si="3"/>
        <v>3.2967692189066238</v>
      </c>
      <c r="G6" s="19">
        <f>P7</f>
        <v>3.4482758620689653</v>
      </c>
      <c r="H6" s="19">
        <f t="shared" si="0"/>
        <v>-0.15150664316234153</v>
      </c>
      <c r="I6" s="20">
        <v>68560.179999999993</v>
      </c>
      <c r="J6" s="19">
        <f>IF(I6&gt;0,$I$3/I6,"")</f>
        <v>1.9229810890228121</v>
      </c>
      <c r="K6" s="19">
        <f t="shared" ref="K6" si="4">AA7</f>
        <v>3.5294117647058822</v>
      </c>
      <c r="L6" s="25">
        <f t="shared" si="1"/>
        <v>-1.6064306756830702</v>
      </c>
      <c r="N6" s="21" t="s">
        <v>29</v>
      </c>
      <c r="O6" s="22">
        <f>$O$4/2*LOG($O$4/2,2)+$O$4</f>
        <v>436207616</v>
      </c>
      <c r="P6" s="23">
        <f t="shared" ref="P6:P13" si="5">$O$5/O6</f>
        <v>1.9230769230769231</v>
      </c>
      <c r="Q6" s="19">
        <f>F4</f>
        <v>1.9187861453262767</v>
      </c>
      <c r="S6" s="21" t="s">
        <v>29</v>
      </c>
      <c r="T6" s="22">
        <f>$T$4/2*LOG($T$4/2,2)+$T$4</f>
        <v>262144</v>
      </c>
      <c r="U6" s="23">
        <f t="shared" ref="U6:U13" si="6">$T$5/T6</f>
        <v>1.875</v>
      </c>
      <c r="V6" s="4">
        <f>O4</f>
        <v>33554432</v>
      </c>
      <c r="X6" s="21" t="s">
        <v>29</v>
      </c>
      <c r="Y6" s="22"/>
      <c r="Z6" s="22">
        <f>$Z$4/2*LOG($Z$4/2,2)+$Z$4</f>
        <v>16642998272.000002</v>
      </c>
      <c r="AA6" s="23">
        <f t="shared" ref="AA6:AA13" si="7">$Z$5/Z6</f>
        <v>1.9354838709677418</v>
      </c>
      <c r="AB6" s="19">
        <f>J4</f>
        <v>1.92</v>
      </c>
    </row>
    <row r="7" spans="1:28" x14ac:dyDescent="0.25">
      <c r="A7" s="15" t="s">
        <v>49</v>
      </c>
      <c r="B7" s="19"/>
      <c r="C7" s="19" t="str">
        <f t="shared" si="2"/>
        <v/>
      </c>
      <c r="D7" s="19"/>
      <c r="E7" s="20"/>
      <c r="F7" s="19"/>
      <c r="G7" s="19"/>
      <c r="H7" s="19" t="str">
        <f t="shared" si="0"/>
        <v/>
      </c>
      <c r="I7" s="20"/>
      <c r="J7" s="28"/>
      <c r="K7" s="28"/>
      <c r="L7" s="25" t="str">
        <f t="shared" si="1"/>
        <v/>
      </c>
      <c r="N7" s="21" t="s">
        <v>30</v>
      </c>
      <c r="O7" s="22">
        <f>$O$4/4*LOG($O$4/4,2)+$O$4/2+$O$4</f>
        <v>243269632</v>
      </c>
      <c r="P7" s="23">
        <f t="shared" si="5"/>
        <v>3.4482758620689653</v>
      </c>
      <c r="Q7" s="19">
        <f>F6</f>
        <v>3.2967692189066238</v>
      </c>
      <c r="S7" s="21" t="s">
        <v>30</v>
      </c>
      <c r="T7" s="22">
        <f>$T$4/4*LOG($T$4/4,2)+$T$4/2+$T$4</f>
        <v>155648</v>
      </c>
      <c r="U7" s="23">
        <f t="shared" si="6"/>
        <v>3.1578947368421053</v>
      </c>
      <c r="V7" s="4">
        <f>O6</f>
        <v>436207616</v>
      </c>
      <c r="X7" s="21" t="s">
        <v>30</v>
      </c>
      <c r="Y7" s="22"/>
      <c r="Z7" s="22">
        <f>$Z$4/4*LOG($Z$4/4,2)+$Z$4/2+$Z$4</f>
        <v>9126805504</v>
      </c>
      <c r="AA7" s="23">
        <f t="shared" si="7"/>
        <v>3.5294117647058822</v>
      </c>
      <c r="AB7" s="19">
        <f>J6</f>
        <v>1.9229810890228121</v>
      </c>
    </row>
    <row r="8" spans="1:28" x14ac:dyDescent="0.25">
      <c r="A8" s="15" t="s">
        <v>6</v>
      </c>
      <c r="B8" s="19"/>
      <c r="C8" s="19" t="str">
        <f t="shared" si="2"/>
        <v/>
      </c>
      <c r="D8" s="19"/>
      <c r="E8" s="20"/>
      <c r="F8" s="19"/>
      <c r="G8" s="19"/>
      <c r="H8" s="19" t="str">
        <f t="shared" si="0"/>
        <v/>
      </c>
      <c r="I8" s="20"/>
      <c r="J8" s="28"/>
      <c r="K8" s="28"/>
      <c r="L8" s="25" t="str">
        <f t="shared" si="1"/>
        <v/>
      </c>
      <c r="N8" s="21" t="s">
        <v>31</v>
      </c>
      <c r="O8" s="22">
        <f>$O$4/8*LOG($O$4/8,2)+$O$4/4+$O$4/2+$O$4</f>
        <v>150994944</v>
      </c>
      <c r="P8" s="23">
        <f t="shared" si="5"/>
        <v>5.5555555555555554</v>
      </c>
      <c r="Q8" s="19">
        <f>F10</f>
        <v>5.492356704262261</v>
      </c>
      <c r="S8" s="21" t="s">
        <v>31</v>
      </c>
      <c r="T8" s="22">
        <f>$T$4/8*LOG($T$4/8,2)+$T$4/4+$T$4/2+$T$4</f>
        <v>106496</v>
      </c>
      <c r="U8" s="23">
        <f t="shared" si="6"/>
        <v>4.615384615384615</v>
      </c>
      <c r="V8" s="4">
        <f>O10</f>
        <v>85983232</v>
      </c>
      <c r="X8" s="21" t="s">
        <v>31</v>
      </c>
      <c r="Y8" s="22"/>
      <c r="Z8" s="22">
        <f>$Z$4/8*LOG($Z$4/8,2)+$Z$4/4+$Z$4/2+$Z$4</f>
        <v>5502926848</v>
      </c>
      <c r="AA8" s="23">
        <f t="shared" si="7"/>
        <v>5.8536585365853657</v>
      </c>
      <c r="AB8" s="19">
        <f>J10</f>
        <v>3.3038647419505844</v>
      </c>
    </row>
    <row r="9" spans="1:28" x14ac:dyDescent="0.25">
      <c r="A9" s="15" t="s">
        <v>50</v>
      </c>
      <c r="B9" s="19"/>
      <c r="C9" s="19" t="str">
        <f t="shared" si="2"/>
        <v/>
      </c>
      <c r="D9" s="19"/>
      <c r="E9" s="20"/>
      <c r="F9" s="19"/>
      <c r="G9" s="19"/>
      <c r="H9" s="19" t="str">
        <f t="shared" si="0"/>
        <v/>
      </c>
      <c r="I9" s="20"/>
      <c r="J9" s="28"/>
      <c r="K9" s="28"/>
      <c r="L9" s="25" t="str">
        <f t="shared" si="1"/>
        <v/>
      </c>
      <c r="N9" s="21" t="s">
        <v>32</v>
      </c>
      <c r="O9" s="22">
        <f>$O$4/16*LOG($O$4/16,2)+$O$4/8+$O$4/4+$O$4/2+$O$4</f>
        <v>106954752</v>
      </c>
      <c r="P9" s="23">
        <f t="shared" si="5"/>
        <v>7.8431372549019605</v>
      </c>
      <c r="Q9" s="19">
        <f>F18</f>
        <v>8.2511482496429807</v>
      </c>
      <c r="S9" s="21" t="s">
        <v>32</v>
      </c>
      <c r="T9" s="22">
        <f>$T$4/16*LOG($T$4/16,2)+$T$4/8+$T$4/4+$T$4/2+$T$4</f>
        <v>83968</v>
      </c>
      <c r="U9" s="23">
        <f t="shared" si="6"/>
        <v>5.8536585365853657</v>
      </c>
      <c r="V9" s="4">
        <f>O18</f>
        <v>0</v>
      </c>
      <c r="X9" s="21" t="s">
        <v>32</v>
      </c>
      <c r="Y9" s="22"/>
      <c r="Z9" s="22">
        <f>$Z$4/16*LOG($Z$4/16,2)+$Z$4/8+$Z$4/4+$Z$4/2+$Z$4</f>
        <v>3758096384</v>
      </c>
      <c r="AA9" s="23">
        <f t="shared" si="7"/>
        <v>8.5714285714285712</v>
      </c>
      <c r="AB9" s="19">
        <f>J18</f>
        <v>4.6426597270886525</v>
      </c>
    </row>
    <row r="10" spans="1:28" x14ac:dyDescent="0.25">
      <c r="A10" s="15" t="s">
        <v>7</v>
      </c>
      <c r="B10" s="19"/>
      <c r="C10" s="19" t="str">
        <f t="shared" si="2"/>
        <v/>
      </c>
      <c r="D10" s="19"/>
      <c r="E10" s="20">
        <v>1167.69</v>
      </c>
      <c r="F10" s="19">
        <f t="shared" si="3"/>
        <v>5.492356704262261</v>
      </c>
      <c r="G10" s="19">
        <f>P8</f>
        <v>5.5555555555555554</v>
      </c>
      <c r="H10" s="19">
        <f t="shared" si="0"/>
        <v>-6.3198851293294389E-2</v>
      </c>
      <c r="I10" s="20">
        <v>39904.76</v>
      </c>
      <c r="J10" s="19">
        <f>IF(I10&gt;0,$I$3/I10,"")</f>
        <v>3.3038647419505844</v>
      </c>
      <c r="K10" s="19">
        <f>AA8</f>
        <v>5.8536585365853657</v>
      </c>
      <c r="L10" s="25">
        <f t="shared" si="1"/>
        <v>-2.5497937946347813</v>
      </c>
      <c r="N10" s="21" t="s">
        <v>33</v>
      </c>
      <c r="O10" s="22">
        <f>$O$4/32*LOG($O$4/32,2)+$O$4/16+$O$4/8+$O$4/4+$O$4/2+$O$4</f>
        <v>85983232</v>
      </c>
      <c r="P10" s="23">
        <f t="shared" si="5"/>
        <v>9.7560975609756095</v>
      </c>
      <c r="Q10" s="19">
        <f>F34</f>
        <v>8.6400953817966268</v>
      </c>
      <c r="S10" s="21" t="s">
        <v>33</v>
      </c>
      <c r="T10" s="22">
        <f>$T$4/32*LOG($T$4/32,2)+$T$4/16+$T$4/8+$T$4/4+$T$4/2+$T$4</f>
        <v>73728</v>
      </c>
      <c r="U10" s="23">
        <f t="shared" si="6"/>
        <v>6.666666666666667</v>
      </c>
      <c r="V10" s="4">
        <f>O34</f>
        <v>0</v>
      </c>
      <c r="X10" s="21" t="s">
        <v>33</v>
      </c>
      <c r="Y10" s="22"/>
      <c r="Z10" s="22">
        <f>$Z$4/32*LOG($Z$4/32,2)+$Z$4/16+$Z$4/8+$Z$4/4+$Z$4/2+$Z$4</f>
        <v>2919235584</v>
      </c>
      <c r="AA10" s="23">
        <f t="shared" si="7"/>
        <v>11.03448275862069</v>
      </c>
      <c r="AB10" s="19">
        <f>J34</f>
        <v>5.2577104859955162</v>
      </c>
    </row>
    <row r="11" spans="1:28" x14ac:dyDescent="0.25">
      <c r="A11" s="15" t="s">
        <v>51</v>
      </c>
      <c r="B11" s="19"/>
      <c r="C11" s="19" t="str">
        <f t="shared" si="2"/>
        <v/>
      </c>
      <c r="D11" s="19"/>
      <c r="E11" s="20"/>
      <c r="F11" s="19"/>
      <c r="G11" s="19"/>
      <c r="H11" s="19" t="str">
        <f t="shared" si="0"/>
        <v/>
      </c>
      <c r="I11" s="20"/>
      <c r="J11" s="28"/>
      <c r="K11" s="28"/>
      <c r="L11" s="25" t="str">
        <f t="shared" si="1"/>
        <v/>
      </c>
      <c r="N11" s="21" t="s">
        <v>52</v>
      </c>
      <c r="O11" s="22">
        <f>$O$4/64*LOG($O$4/64,2)+$O$4/32+$O$4/16+$O$4/8+$O$4/4+$O$4/2+$O$4</f>
        <v>76021760</v>
      </c>
      <c r="P11" s="23">
        <f t="shared" si="5"/>
        <v>11.03448275862069</v>
      </c>
      <c r="Q11" s="19">
        <f>F66</f>
        <v>9.0978820592115532</v>
      </c>
      <c r="S11" s="21" t="s">
        <v>52</v>
      </c>
      <c r="T11" s="22">
        <f>$T$4/64*LOG($T$4/64,2)+$T$4/32+$T$4/16+$T$4/8+$T$4/4+$T$4/2+$T$4</f>
        <v>69120</v>
      </c>
      <c r="U11" s="23">
        <f t="shared" si="6"/>
        <v>7.1111111111111107</v>
      </c>
      <c r="V11" s="4">
        <f>O66</f>
        <v>0</v>
      </c>
      <c r="X11" s="21" t="s">
        <v>52</v>
      </c>
      <c r="Y11" s="22"/>
      <c r="Z11" s="22">
        <f>$Z$4/64*LOG($Z$4/64,2)+$Z$4/32+$Z$4/16+$Z$4/8+$Z$4/4+$Z$4/2+$Z$4</f>
        <v>2516582400</v>
      </c>
      <c r="AA11" s="23">
        <f t="shared" si="7"/>
        <v>12.8</v>
      </c>
      <c r="AB11" s="19">
        <f>J66</f>
        <v>7.2079835458443089</v>
      </c>
    </row>
    <row r="12" spans="1:28" x14ac:dyDescent="0.25">
      <c r="A12" s="15" t="s">
        <v>53</v>
      </c>
      <c r="B12" s="19"/>
      <c r="C12" s="19" t="str">
        <f t="shared" si="2"/>
        <v/>
      </c>
      <c r="D12" s="19"/>
      <c r="E12" s="20"/>
      <c r="F12" s="19"/>
      <c r="G12" s="19"/>
      <c r="H12" s="19" t="str">
        <f t="shared" si="0"/>
        <v/>
      </c>
      <c r="I12" s="20"/>
      <c r="J12" s="28"/>
      <c r="K12" s="28"/>
      <c r="L12" s="25" t="str">
        <f t="shared" si="1"/>
        <v/>
      </c>
      <c r="N12" s="21" t="s">
        <v>54</v>
      </c>
      <c r="O12" s="22">
        <f>$O$4/128*LOG($O$4/128,2)+$O$4/64+$O$4/32+$O$4/16+$O$4/8+$O$4/4+$O$4/2+$O$4</f>
        <v>71303168</v>
      </c>
      <c r="P12" s="23">
        <f t="shared" si="5"/>
        <v>11.764705882352942</v>
      </c>
      <c r="Q12" s="19">
        <f>F130</f>
        <v>9.7858766803485047</v>
      </c>
      <c r="S12" s="21" t="s">
        <v>54</v>
      </c>
      <c r="T12" s="22">
        <f>$T$4/128*LOG($T$4/128,2)+$T$4/64+$T$4/32+$T$4/16+$T$4/8+$T$4/4+$T$4/2+$T$4</f>
        <v>67072</v>
      </c>
      <c r="U12" s="23">
        <f t="shared" si="6"/>
        <v>7.3282442748091601</v>
      </c>
      <c r="V12" s="4">
        <f>O130</f>
        <v>0</v>
      </c>
      <c r="X12" s="21" t="s">
        <v>54</v>
      </c>
      <c r="Y12" s="22"/>
      <c r="Z12" s="22">
        <f>$Z$4/128*LOG($Z$4/128,2)+$Z$4/64+$Z$4/32+$Z$4/16+$Z$4/8+$Z$4/4+$Z$4/2+$Z$4</f>
        <v>2323644416</v>
      </c>
      <c r="AA12" s="23">
        <f t="shared" si="7"/>
        <v>13.862815884476534</v>
      </c>
      <c r="AB12" s="19">
        <f>J130</f>
        <v>7.2928785754982597</v>
      </c>
    </row>
    <row r="13" spans="1:28" x14ac:dyDescent="0.25">
      <c r="A13" s="15" t="s">
        <v>55</v>
      </c>
      <c r="B13" s="19"/>
      <c r="C13" s="19" t="str">
        <f t="shared" si="2"/>
        <v/>
      </c>
      <c r="D13" s="19"/>
      <c r="E13" s="20"/>
      <c r="F13" s="19"/>
      <c r="G13" s="19"/>
      <c r="H13" s="19" t="str">
        <f t="shared" si="0"/>
        <v/>
      </c>
      <c r="I13" s="20"/>
      <c r="J13" s="28"/>
      <c r="K13" s="28"/>
      <c r="L13" s="25" t="str">
        <f t="shared" si="1"/>
        <v/>
      </c>
      <c r="N13" s="21" t="s">
        <v>56</v>
      </c>
      <c r="O13" s="22">
        <f>$O$4/256*LOG($O$4/256,2)+$O$4/128+$O$4/64+$O$4/32+$O$4/16+$O$4/8+$O$4/4+$O$4/2+$O$4</f>
        <v>69074944</v>
      </c>
      <c r="P13" s="23">
        <f t="shared" si="5"/>
        <v>12.144212523719165</v>
      </c>
      <c r="Q13" s="19">
        <f>F258</f>
        <v>9.8679375923190555</v>
      </c>
      <c r="S13" s="21" t="s">
        <v>56</v>
      </c>
      <c r="T13" s="22">
        <f>$T$4/256*LOG($T$4/256,2)+$T$4/128+$T$4/64+$T$4/32+$T$4/16+$T$4/8+$T$4/4+$T$4/2+$T$4</f>
        <v>66176</v>
      </c>
      <c r="U13" s="23">
        <f t="shared" si="6"/>
        <v>7.4274661508704058</v>
      </c>
      <c r="V13" s="4">
        <f>O258</f>
        <v>0</v>
      </c>
      <c r="X13" s="21" t="s">
        <v>56</v>
      </c>
      <c r="Y13" s="22"/>
      <c r="Z13" s="22">
        <f>$Z$4/256*LOG($Z$4/256,2)+$Z$4/128+$Z$4/64+$Z$4/32+$Z$4/16+$Z$4/8+$Z$4/4+$Z$4/2+$Z$4</f>
        <v>2231369728</v>
      </c>
      <c r="AA13" s="23">
        <f t="shared" si="7"/>
        <v>14.436090225563909</v>
      </c>
      <c r="AB13" s="19">
        <f>J258</f>
        <v>7.4880842955182221</v>
      </c>
    </row>
    <row r="14" spans="1:28" x14ac:dyDescent="0.25">
      <c r="A14" s="15" t="s">
        <v>57</v>
      </c>
      <c r="B14" s="19"/>
      <c r="C14" s="19" t="str">
        <f t="shared" si="2"/>
        <v/>
      </c>
      <c r="D14" s="19"/>
      <c r="E14" s="20"/>
      <c r="F14" s="19"/>
      <c r="G14" s="19"/>
      <c r="H14" s="19" t="str">
        <f t="shared" si="0"/>
        <v/>
      </c>
      <c r="I14" s="20"/>
      <c r="J14" s="28"/>
      <c r="K14" s="28"/>
      <c r="L14" s="25" t="str">
        <f t="shared" si="1"/>
        <v/>
      </c>
      <c r="N14" s="21"/>
      <c r="O14" s="22"/>
      <c r="P14" s="23"/>
      <c r="Q14" s="19"/>
      <c r="S14" s="21"/>
      <c r="T14" s="22"/>
      <c r="U14" s="23"/>
      <c r="V14" s="4"/>
      <c r="X14" s="21"/>
      <c r="Y14" s="22"/>
      <c r="Z14" s="22"/>
      <c r="AA14" s="23"/>
      <c r="AB14" s="19"/>
    </row>
    <row r="15" spans="1:28" x14ac:dyDescent="0.25">
      <c r="A15" s="15" t="s">
        <v>58</v>
      </c>
      <c r="B15" s="19"/>
      <c r="C15" s="19" t="str">
        <f t="shared" si="2"/>
        <v/>
      </c>
      <c r="D15" s="19"/>
      <c r="E15" s="20"/>
      <c r="F15" s="19"/>
      <c r="G15" s="19"/>
      <c r="H15" s="19" t="str">
        <f t="shared" si="0"/>
        <v/>
      </c>
      <c r="I15" s="20"/>
      <c r="J15" s="28"/>
      <c r="K15" s="28"/>
      <c r="L15" s="25" t="str">
        <f t="shared" si="1"/>
        <v/>
      </c>
      <c r="O15" s="4" t="s">
        <v>59</v>
      </c>
    </row>
    <row r="16" spans="1:28" x14ac:dyDescent="0.25">
      <c r="A16" s="15" t="s">
        <v>60</v>
      </c>
      <c r="B16" s="19"/>
      <c r="C16" s="19" t="str">
        <f t="shared" si="2"/>
        <v/>
      </c>
      <c r="D16" s="19"/>
      <c r="E16" s="20"/>
      <c r="F16" s="19"/>
      <c r="G16" s="19"/>
      <c r="H16" s="19" t="str">
        <f t="shared" si="0"/>
        <v/>
      </c>
      <c r="I16" s="20"/>
      <c r="J16" s="28"/>
      <c r="K16" s="28"/>
      <c r="L16" s="25" t="str">
        <f t="shared" si="1"/>
        <v/>
      </c>
      <c r="O16" s="4" t="s">
        <v>61</v>
      </c>
    </row>
    <row r="17" spans="1:15" x14ac:dyDescent="0.25">
      <c r="A17" s="15" t="s">
        <v>62</v>
      </c>
      <c r="B17" s="19"/>
      <c r="C17" s="19" t="str">
        <f t="shared" si="2"/>
        <v/>
      </c>
      <c r="D17" s="19"/>
      <c r="E17" s="20"/>
      <c r="F17" s="19"/>
      <c r="G17" s="19"/>
      <c r="H17" s="19" t="str">
        <f t="shared" si="0"/>
        <v/>
      </c>
      <c r="I17" s="20"/>
      <c r="J17" s="28"/>
      <c r="K17" s="28"/>
      <c r="L17" s="25" t="str">
        <f t="shared" si="1"/>
        <v/>
      </c>
      <c r="O17" s="4" t="s">
        <v>63</v>
      </c>
    </row>
    <row r="18" spans="1:15" x14ac:dyDescent="0.25">
      <c r="A18" s="15" t="s">
        <v>64</v>
      </c>
      <c r="B18" s="19"/>
      <c r="C18" s="19" t="str">
        <f t="shared" si="2"/>
        <v/>
      </c>
      <c r="D18" s="19"/>
      <c r="E18" s="20">
        <v>777.27</v>
      </c>
      <c r="F18" s="19">
        <f t="shared" si="3"/>
        <v>8.2511482496429807</v>
      </c>
      <c r="G18" s="19">
        <f>P9</f>
        <v>7.8431372549019605</v>
      </c>
      <c r="H18" s="19">
        <f t="shared" si="0"/>
        <v>0.40801099474102021</v>
      </c>
      <c r="I18" s="20">
        <v>28397.5</v>
      </c>
      <c r="J18" s="19">
        <f>IF(I18&gt;0,$I$3/I18,"")</f>
        <v>4.6426597270886525</v>
      </c>
      <c r="K18" s="19">
        <f>AA9</f>
        <v>8.5714285714285712</v>
      </c>
      <c r="L18" s="25">
        <f t="shared" si="1"/>
        <v>-3.9287688443399187</v>
      </c>
    </row>
    <row r="19" spans="1:15" x14ac:dyDescent="0.25">
      <c r="A19" s="15" t="s">
        <v>65</v>
      </c>
      <c r="B19" s="19"/>
      <c r="C19" s="19" t="str">
        <f t="shared" si="2"/>
        <v/>
      </c>
      <c r="D19" s="19"/>
      <c r="E19" s="20"/>
      <c r="F19" s="19"/>
      <c r="G19" s="19"/>
      <c r="H19" s="19" t="str">
        <f t="shared" si="0"/>
        <v/>
      </c>
      <c r="I19" s="20"/>
      <c r="J19" s="28"/>
      <c r="K19" s="28"/>
      <c r="L19" s="25" t="str">
        <f t="shared" si="1"/>
        <v/>
      </c>
    </row>
    <row r="20" spans="1:15" x14ac:dyDescent="0.25">
      <c r="A20" s="15" t="s">
        <v>66</v>
      </c>
      <c r="B20" s="19"/>
      <c r="C20" s="19" t="str">
        <f t="shared" si="2"/>
        <v/>
      </c>
      <c r="D20" s="19"/>
      <c r="E20" s="20"/>
      <c r="F20" s="19"/>
      <c r="G20" s="19"/>
      <c r="H20" s="19" t="str">
        <f t="shared" si="0"/>
        <v/>
      </c>
      <c r="I20" s="20"/>
      <c r="J20" s="28"/>
      <c r="K20" s="28"/>
      <c r="L20" s="25" t="str">
        <f t="shared" si="1"/>
        <v/>
      </c>
    </row>
    <row r="21" spans="1:15" x14ac:dyDescent="0.25">
      <c r="A21" s="15" t="s">
        <v>67</v>
      </c>
      <c r="B21" s="19"/>
      <c r="C21" s="19" t="str">
        <f t="shared" si="2"/>
        <v/>
      </c>
      <c r="D21" s="19"/>
      <c r="E21" s="20"/>
      <c r="F21" s="19"/>
      <c r="G21" s="19"/>
      <c r="H21" s="19" t="str">
        <f t="shared" si="0"/>
        <v/>
      </c>
      <c r="I21" s="20"/>
      <c r="J21" s="28"/>
      <c r="K21" s="28"/>
      <c r="L21" s="25" t="str">
        <f t="shared" si="1"/>
        <v/>
      </c>
    </row>
    <row r="22" spans="1:15" x14ac:dyDescent="0.25">
      <c r="A22" s="15" t="s">
        <v>68</v>
      </c>
      <c r="B22" s="19"/>
      <c r="C22" s="19" t="str">
        <f t="shared" si="2"/>
        <v/>
      </c>
      <c r="D22" s="19"/>
      <c r="E22" s="20"/>
      <c r="F22" s="19"/>
      <c r="G22" s="19"/>
      <c r="H22" s="25" t="str">
        <f t="shared" si="0"/>
        <v/>
      </c>
      <c r="I22" s="28"/>
      <c r="J22" s="28"/>
      <c r="K22" s="28"/>
      <c r="L22" s="25" t="str">
        <f t="shared" si="1"/>
        <v/>
      </c>
    </row>
    <row r="23" spans="1:15" x14ac:dyDescent="0.25">
      <c r="A23" s="15" t="s">
        <v>69</v>
      </c>
      <c r="B23" s="19"/>
      <c r="C23" s="19" t="str">
        <f t="shared" si="2"/>
        <v/>
      </c>
      <c r="D23" s="19"/>
      <c r="E23" s="20"/>
      <c r="F23" s="19"/>
      <c r="G23" s="19"/>
      <c r="H23" s="25" t="str">
        <f t="shared" si="0"/>
        <v/>
      </c>
      <c r="I23" s="28"/>
      <c r="J23" s="28"/>
      <c r="K23" s="28"/>
      <c r="L23" s="25" t="str">
        <f t="shared" si="1"/>
        <v/>
      </c>
    </row>
    <row r="24" spans="1:15" x14ac:dyDescent="0.25">
      <c r="A24" s="15" t="s">
        <v>70</v>
      </c>
      <c r="B24" s="19"/>
      <c r="C24" s="19" t="str">
        <f t="shared" si="2"/>
        <v/>
      </c>
      <c r="D24" s="19"/>
      <c r="E24" s="24"/>
      <c r="F24" s="19"/>
      <c r="G24" s="19"/>
      <c r="H24" s="25" t="str">
        <f t="shared" si="0"/>
        <v/>
      </c>
      <c r="I24" s="28"/>
      <c r="J24" s="28"/>
      <c r="K24" s="28"/>
      <c r="L24" s="25" t="str">
        <f t="shared" si="1"/>
        <v/>
      </c>
    </row>
    <row r="25" spans="1:15" x14ac:dyDescent="0.25">
      <c r="A25" s="15" t="s">
        <v>71</v>
      </c>
      <c r="B25" s="19"/>
      <c r="C25" s="19"/>
      <c r="D25" s="19"/>
      <c r="E25" s="24"/>
      <c r="F25" s="19"/>
      <c r="G25" s="19"/>
      <c r="H25" s="25" t="str">
        <f t="shared" si="0"/>
        <v/>
      </c>
      <c r="I25" s="28"/>
      <c r="J25" s="28"/>
      <c r="K25" s="28"/>
      <c r="L25" s="25" t="str">
        <f t="shared" si="1"/>
        <v/>
      </c>
    </row>
    <row r="26" spans="1:15" x14ac:dyDescent="0.25">
      <c r="A26" s="15" t="s">
        <v>72</v>
      </c>
      <c r="B26" s="19"/>
      <c r="C26" s="19"/>
      <c r="D26" s="19"/>
      <c r="E26" s="24"/>
      <c r="F26" s="19"/>
      <c r="G26" s="19"/>
      <c r="H26" s="25" t="str">
        <f t="shared" si="0"/>
        <v/>
      </c>
      <c r="I26" s="28"/>
      <c r="J26" s="28"/>
      <c r="K26" s="28"/>
      <c r="L26" s="25" t="str">
        <f t="shared" si="1"/>
        <v/>
      </c>
    </row>
    <row r="27" spans="1:15" x14ac:dyDescent="0.25">
      <c r="A27" s="15" t="s">
        <v>73</v>
      </c>
      <c r="B27" s="19"/>
      <c r="C27" s="19"/>
      <c r="D27" s="19"/>
      <c r="E27" s="24"/>
      <c r="F27" s="19"/>
      <c r="G27" s="19"/>
      <c r="H27" s="25" t="str">
        <f t="shared" si="0"/>
        <v/>
      </c>
      <c r="I27" s="28"/>
      <c r="J27" s="28"/>
      <c r="K27" s="28"/>
      <c r="L27" s="25" t="str">
        <f t="shared" si="1"/>
        <v/>
      </c>
    </row>
    <row r="28" spans="1:15" x14ac:dyDescent="0.25">
      <c r="A28" s="15" t="s">
        <v>74</v>
      </c>
      <c r="B28" s="19"/>
      <c r="C28" s="19"/>
      <c r="D28" s="19"/>
      <c r="E28" s="24"/>
      <c r="F28" s="19"/>
      <c r="G28" s="19"/>
      <c r="H28" s="25" t="str">
        <f t="shared" si="0"/>
        <v/>
      </c>
      <c r="I28" s="28"/>
      <c r="J28" s="28"/>
      <c r="K28" s="28"/>
      <c r="L28" s="25" t="str">
        <f t="shared" si="1"/>
        <v/>
      </c>
    </row>
    <row r="29" spans="1:15" x14ac:dyDescent="0.25">
      <c r="A29" s="15" t="s">
        <v>75</v>
      </c>
      <c r="B29" s="19"/>
      <c r="C29" s="19"/>
      <c r="D29" s="19"/>
      <c r="E29" s="24"/>
      <c r="F29" s="19"/>
      <c r="G29" s="19"/>
      <c r="H29" s="25" t="str">
        <f t="shared" si="0"/>
        <v/>
      </c>
      <c r="I29" s="28"/>
      <c r="J29" s="28"/>
      <c r="K29" s="28"/>
      <c r="L29" s="25" t="str">
        <f t="shared" si="1"/>
        <v/>
      </c>
    </row>
    <row r="30" spans="1:15" x14ac:dyDescent="0.25">
      <c r="A30" s="15" t="s">
        <v>76</v>
      </c>
      <c r="B30" s="19"/>
      <c r="C30" s="19"/>
      <c r="D30" s="19"/>
      <c r="E30" s="24"/>
      <c r="F30" s="19"/>
      <c r="G30" s="19"/>
      <c r="H30" s="25" t="str">
        <f t="shared" si="0"/>
        <v/>
      </c>
      <c r="I30" s="28"/>
      <c r="J30" s="28"/>
      <c r="K30" s="28"/>
      <c r="L30" s="25" t="str">
        <f t="shared" si="1"/>
        <v/>
      </c>
    </row>
    <row r="31" spans="1:15" x14ac:dyDescent="0.25">
      <c r="A31" s="15" t="s">
        <v>77</v>
      </c>
      <c r="B31" s="19"/>
      <c r="C31" s="19"/>
      <c r="D31" s="19"/>
      <c r="E31" s="24"/>
      <c r="F31" s="19"/>
      <c r="G31" s="19"/>
      <c r="H31" s="25" t="str">
        <f t="shared" si="0"/>
        <v/>
      </c>
      <c r="I31" s="28"/>
      <c r="J31" s="28"/>
      <c r="K31" s="28"/>
      <c r="L31" s="25" t="str">
        <f t="shared" si="1"/>
        <v/>
      </c>
    </row>
    <row r="32" spans="1:15" x14ac:dyDescent="0.25">
      <c r="A32" s="15" t="s">
        <v>78</v>
      </c>
      <c r="B32" s="19"/>
      <c r="C32" s="19"/>
      <c r="D32" s="19"/>
      <c r="E32" s="24"/>
      <c r="F32" s="19"/>
      <c r="G32" s="19"/>
      <c r="H32" s="25" t="str">
        <f t="shared" si="0"/>
        <v/>
      </c>
      <c r="I32" s="28"/>
      <c r="J32" s="28"/>
      <c r="K32" s="28"/>
      <c r="L32" s="25" t="str">
        <f t="shared" si="1"/>
        <v/>
      </c>
    </row>
    <row r="33" spans="1:12" x14ac:dyDescent="0.25">
      <c r="A33" s="15" t="s">
        <v>79</v>
      </c>
      <c r="B33" s="19"/>
      <c r="C33" s="19"/>
      <c r="D33" s="19"/>
      <c r="E33" s="24"/>
      <c r="F33" s="19"/>
      <c r="G33" s="19"/>
      <c r="H33" s="25" t="str">
        <f t="shared" si="0"/>
        <v/>
      </c>
      <c r="I33" s="28"/>
      <c r="J33" s="28"/>
      <c r="K33" s="28"/>
      <c r="L33" s="25" t="str">
        <f t="shared" si="1"/>
        <v/>
      </c>
    </row>
    <row r="34" spans="1:12" x14ac:dyDescent="0.25">
      <c r="A34" s="15" t="s">
        <v>9</v>
      </c>
      <c r="B34" s="19"/>
      <c r="C34" s="19"/>
      <c r="D34" s="19"/>
      <c r="E34" s="24">
        <v>742.28</v>
      </c>
      <c r="F34" s="19">
        <f t="shared" si="3"/>
        <v>8.6400953817966268</v>
      </c>
      <c r="G34" s="19">
        <f>P10</f>
        <v>9.7560975609756095</v>
      </c>
      <c r="H34" s="25">
        <f t="shared" si="0"/>
        <v>-1.1160021791789827</v>
      </c>
      <c r="I34" s="19">
        <v>25075.54</v>
      </c>
      <c r="J34" s="19">
        <f>IF(I34&gt;0,$I$3/I34,"")</f>
        <v>5.2577104859955162</v>
      </c>
      <c r="K34" s="19">
        <f>AA10</f>
        <v>11.03448275862069</v>
      </c>
      <c r="L34" s="25">
        <f t="shared" si="1"/>
        <v>-5.7767722726251742</v>
      </c>
    </row>
    <row r="35" spans="1:12" x14ac:dyDescent="0.25">
      <c r="A35" s="15" t="s">
        <v>80</v>
      </c>
      <c r="B35" s="19"/>
      <c r="C35" s="19"/>
      <c r="D35" s="19"/>
      <c r="E35" s="24"/>
      <c r="F35" s="19"/>
      <c r="G35" s="19"/>
      <c r="H35" s="25" t="str">
        <f t="shared" si="0"/>
        <v/>
      </c>
      <c r="I35" s="28"/>
      <c r="J35" s="28"/>
      <c r="K35" s="28"/>
      <c r="L35" s="25" t="str">
        <f t="shared" si="1"/>
        <v/>
      </c>
    </row>
    <row r="36" spans="1:12" x14ac:dyDescent="0.25">
      <c r="A36" s="15" t="s">
        <v>81</v>
      </c>
      <c r="B36" s="19"/>
      <c r="C36" s="19"/>
      <c r="D36" s="19"/>
      <c r="E36" s="24"/>
      <c r="F36" s="19"/>
      <c r="G36" s="19"/>
      <c r="H36" s="25" t="str">
        <f t="shared" si="0"/>
        <v/>
      </c>
      <c r="I36" s="28"/>
      <c r="J36" s="28"/>
      <c r="K36" s="28"/>
      <c r="L36" s="25" t="str">
        <f t="shared" si="1"/>
        <v/>
      </c>
    </row>
    <row r="37" spans="1:12" x14ac:dyDescent="0.25">
      <c r="A37" s="15" t="s">
        <v>82</v>
      </c>
      <c r="B37" s="19"/>
      <c r="C37" s="19"/>
      <c r="D37" s="19"/>
      <c r="E37" s="24"/>
      <c r="F37" s="19"/>
      <c r="G37" s="19"/>
      <c r="H37" s="25" t="str">
        <f t="shared" si="0"/>
        <v/>
      </c>
      <c r="I37" s="28"/>
      <c r="J37" s="28"/>
      <c r="K37" s="28"/>
      <c r="L37" s="25" t="str">
        <f t="shared" si="1"/>
        <v/>
      </c>
    </row>
    <row r="38" spans="1:12" x14ac:dyDescent="0.25">
      <c r="A38" s="15" t="s">
        <v>83</v>
      </c>
      <c r="B38" s="19"/>
      <c r="C38" s="19"/>
      <c r="D38" s="19"/>
      <c r="E38" s="24"/>
      <c r="F38" s="19"/>
      <c r="G38" s="19"/>
      <c r="H38" s="25" t="str">
        <f t="shared" si="0"/>
        <v/>
      </c>
      <c r="I38" s="28"/>
      <c r="J38" s="28"/>
      <c r="K38" s="28"/>
      <c r="L38" s="25" t="str">
        <f t="shared" si="1"/>
        <v/>
      </c>
    </row>
    <row r="39" spans="1:12" x14ac:dyDescent="0.25">
      <c r="A39" s="15" t="s">
        <v>84</v>
      </c>
      <c r="B39" s="19"/>
      <c r="C39" s="19"/>
      <c r="D39" s="19"/>
      <c r="E39" s="24"/>
      <c r="F39" s="19"/>
      <c r="G39" s="19"/>
      <c r="H39" s="25" t="str">
        <f t="shared" si="0"/>
        <v/>
      </c>
      <c r="I39" s="28"/>
      <c r="J39" s="28"/>
      <c r="K39" s="28"/>
      <c r="L39" s="25" t="str">
        <f t="shared" si="1"/>
        <v/>
      </c>
    </row>
    <row r="40" spans="1:12" x14ac:dyDescent="0.25">
      <c r="A40" s="15" t="s">
        <v>85</v>
      </c>
      <c r="B40" s="19"/>
      <c r="C40" s="19"/>
      <c r="D40" s="19"/>
      <c r="E40" s="24"/>
      <c r="F40" s="19"/>
      <c r="G40" s="19"/>
      <c r="H40" s="25" t="str">
        <f t="shared" si="0"/>
        <v/>
      </c>
      <c r="I40" s="28"/>
      <c r="J40" s="28"/>
      <c r="K40" s="28"/>
      <c r="L40" s="25" t="str">
        <f t="shared" si="1"/>
        <v/>
      </c>
    </row>
    <row r="41" spans="1:12" x14ac:dyDescent="0.25">
      <c r="A41" s="15" t="s">
        <v>86</v>
      </c>
      <c r="B41" s="19"/>
      <c r="C41" s="19"/>
      <c r="D41" s="19"/>
      <c r="E41" s="24"/>
      <c r="F41" s="19"/>
      <c r="G41" s="19"/>
      <c r="H41" s="25" t="str">
        <f t="shared" si="0"/>
        <v/>
      </c>
      <c r="I41" s="28"/>
      <c r="J41" s="28"/>
      <c r="K41" s="28"/>
      <c r="L41" s="25" t="str">
        <f t="shared" si="1"/>
        <v/>
      </c>
    </row>
    <row r="42" spans="1:12" x14ac:dyDescent="0.25">
      <c r="A42" s="15" t="s">
        <v>87</v>
      </c>
      <c r="B42" s="19"/>
      <c r="C42" s="19"/>
      <c r="D42" s="19"/>
      <c r="E42" s="24"/>
      <c r="F42" s="19"/>
      <c r="G42" s="19"/>
      <c r="H42" s="25" t="str">
        <f t="shared" si="0"/>
        <v/>
      </c>
      <c r="I42" s="28"/>
      <c r="J42" s="28"/>
      <c r="K42" s="28"/>
      <c r="L42" s="25" t="str">
        <f t="shared" si="1"/>
        <v/>
      </c>
    </row>
    <row r="43" spans="1:12" x14ac:dyDescent="0.25">
      <c r="A43" s="15" t="s">
        <v>88</v>
      </c>
      <c r="B43" s="19"/>
      <c r="C43" s="19"/>
      <c r="D43" s="19"/>
      <c r="E43" s="24"/>
      <c r="F43" s="19"/>
      <c r="G43" s="19"/>
      <c r="H43" s="25" t="str">
        <f t="shared" si="0"/>
        <v/>
      </c>
      <c r="I43" s="28"/>
      <c r="J43" s="28"/>
      <c r="K43" s="28"/>
      <c r="L43" s="25" t="str">
        <f t="shared" si="1"/>
        <v/>
      </c>
    </row>
    <row r="44" spans="1:12" x14ac:dyDescent="0.25">
      <c r="A44" s="15" t="s">
        <v>89</v>
      </c>
      <c r="B44" s="19"/>
      <c r="C44" s="19"/>
      <c r="D44" s="19"/>
      <c r="E44" s="24"/>
      <c r="F44" s="19"/>
      <c r="G44" s="19"/>
      <c r="H44" s="25" t="str">
        <f t="shared" si="0"/>
        <v/>
      </c>
      <c r="I44" s="28"/>
      <c r="J44" s="28"/>
      <c r="K44" s="28"/>
      <c r="L44" s="25" t="str">
        <f t="shared" si="1"/>
        <v/>
      </c>
    </row>
    <row r="45" spans="1:12" x14ac:dyDescent="0.25">
      <c r="A45" s="15" t="s">
        <v>90</v>
      </c>
      <c r="B45" s="19"/>
      <c r="C45" s="19"/>
      <c r="D45" s="19"/>
      <c r="E45" s="24"/>
      <c r="F45" s="19"/>
      <c r="G45" s="19"/>
      <c r="H45" s="25" t="str">
        <f t="shared" si="0"/>
        <v/>
      </c>
      <c r="I45" s="28"/>
      <c r="J45" s="28"/>
      <c r="K45" s="28"/>
      <c r="L45" s="25" t="str">
        <f t="shared" si="1"/>
        <v/>
      </c>
    </row>
    <row r="46" spans="1:12" x14ac:dyDescent="0.25">
      <c r="A46" s="15" t="s">
        <v>91</v>
      </c>
      <c r="B46" s="19"/>
      <c r="C46" s="19"/>
      <c r="D46" s="19"/>
      <c r="E46" s="24"/>
      <c r="F46" s="19"/>
      <c r="G46" s="19"/>
      <c r="H46" s="25" t="str">
        <f t="shared" si="0"/>
        <v/>
      </c>
      <c r="I46" s="28"/>
      <c r="J46" s="28"/>
      <c r="K46" s="28"/>
      <c r="L46" s="25" t="str">
        <f t="shared" si="1"/>
        <v/>
      </c>
    </row>
    <row r="47" spans="1:12" x14ac:dyDescent="0.25">
      <c r="A47" s="15" t="s">
        <v>92</v>
      </c>
      <c r="B47" s="19"/>
      <c r="C47" s="19"/>
      <c r="D47" s="19"/>
      <c r="E47" s="24"/>
      <c r="F47" s="19"/>
      <c r="G47" s="19"/>
      <c r="H47" s="25" t="str">
        <f t="shared" si="0"/>
        <v/>
      </c>
      <c r="I47" s="28"/>
      <c r="J47" s="28"/>
      <c r="K47" s="28"/>
      <c r="L47" s="25" t="str">
        <f t="shared" si="1"/>
        <v/>
      </c>
    </row>
    <row r="48" spans="1:12" x14ac:dyDescent="0.25">
      <c r="A48" s="15" t="s">
        <v>93</v>
      </c>
      <c r="B48" s="19"/>
      <c r="C48" s="19"/>
      <c r="D48" s="19"/>
      <c r="E48" s="24"/>
      <c r="F48" s="19"/>
      <c r="G48" s="19"/>
      <c r="H48" s="25" t="str">
        <f t="shared" si="0"/>
        <v/>
      </c>
      <c r="I48" s="28"/>
      <c r="J48" s="28"/>
      <c r="K48" s="28"/>
      <c r="L48" s="25" t="str">
        <f t="shared" si="1"/>
        <v/>
      </c>
    </row>
    <row r="49" spans="1:12" x14ac:dyDescent="0.25">
      <c r="A49" s="15" t="s">
        <v>94</v>
      </c>
      <c r="B49" s="19"/>
      <c r="C49" s="19"/>
      <c r="D49" s="19"/>
      <c r="E49" s="24"/>
      <c r="F49" s="19"/>
      <c r="G49" s="19"/>
      <c r="H49" s="25" t="str">
        <f t="shared" si="0"/>
        <v/>
      </c>
      <c r="I49" s="28"/>
      <c r="J49" s="28"/>
      <c r="K49" s="28"/>
      <c r="L49" s="25" t="str">
        <f t="shared" si="1"/>
        <v/>
      </c>
    </row>
    <row r="50" spans="1:12" x14ac:dyDescent="0.25">
      <c r="A50" s="15" t="s">
        <v>95</v>
      </c>
      <c r="B50" s="19"/>
      <c r="C50" s="19"/>
      <c r="D50" s="19"/>
      <c r="E50" s="24"/>
      <c r="F50" s="19"/>
      <c r="G50" s="19"/>
      <c r="H50" s="25" t="str">
        <f t="shared" si="0"/>
        <v/>
      </c>
      <c r="I50" s="28"/>
      <c r="J50" s="28"/>
      <c r="K50" s="28"/>
      <c r="L50" s="25" t="str">
        <f t="shared" si="1"/>
        <v/>
      </c>
    </row>
    <row r="51" spans="1:12" x14ac:dyDescent="0.25">
      <c r="A51" s="15" t="s">
        <v>96</v>
      </c>
      <c r="B51" s="19"/>
      <c r="C51" s="19"/>
      <c r="D51" s="19"/>
      <c r="E51" s="24"/>
      <c r="F51" s="19"/>
      <c r="G51" s="19"/>
      <c r="H51" s="25" t="str">
        <f t="shared" si="0"/>
        <v/>
      </c>
      <c r="I51" s="28"/>
      <c r="J51" s="28"/>
      <c r="K51" s="28"/>
      <c r="L51" s="25" t="str">
        <f t="shared" si="1"/>
        <v/>
      </c>
    </row>
    <row r="52" spans="1:12" x14ac:dyDescent="0.25">
      <c r="A52" s="15" t="s">
        <v>97</v>
      </c>
      <c r="B52" s="19"/>
      <c r="C52" s="19"/>
      <c r="D52" s="19"/>
      <c r="E52" s="24"/>
      <c r="F52" s="19"/>
      <c r="G52" s="19"/>
      <c r="H52" s="25" t="str">
        <f t="shared" si="0"/>
        <v/>
      </c>
      <c r="I52" s="28"/>
      <c r="J52" s="28"/>
      <c r="K52" s="28"/>
      <c r="L52" s="25" t="str">
        <f t="shared" si="1"/>
        <v/>
      </c>
    </row>
    <row r="53" spans="1:12" x14ac:dyDescent="0.25">
      <c r="A53" s="15" t="s">
        <v>98</v>
      </c>
      <c r="B53" s="19"/>
      <c r="C53" s="19"/>
      <c r="D53" s="19"/>
      <c r="E53" s="24"/>
      <c r="F53" s="19"/>
      <c r="G53" s="19"/>
      <c r="H53" s="25" t="str">
        <f t="shared" si="0"/>
        <v/>
      </c>
      <c r="I53" s="28"/>
      <c r="J53" s="28"/>
      <c r="K53" s="28"/>
      <c r="L53" s="25" t="str">
        <f t="shared" si="1"/>
        <v/>
      </c>
    </row>
    <row r="54" spans="1:12" x14ac:dyDescent="0.25">
      <c r="A54" s="15" t="s">
        <v>99</v>
      </c>
      <c r="B54" s="19"/>
      <c r="C54" s="19"/>
      <c r="D54" s="19"/>
      <c r="E54" s="24"/>
      <c r="F54" s="19"/>
      <c r="G54" s="19"/>
      <c r="H54" s="25" t="str">
        <f t="shared" si="0"/>
        <v/>
      </c>
      <c r="I54" s="28"/>
      <c r="J54" s="28"/>
      <c r="K54" s="28"/>
      <c r="L54" s="25" t="str">
        <f t="shared" si="1"/>
        <v/>
      </c>
    </row>
    <row r="55" spans="1:12" x14ac:dyDescent="0.25">
      <c r="A55" s="15" t="s">
        <v>100</v>
      </c>
      <c r="B55" s="19"/>
      <c r="C55" s="19"/>
      <c r="D55" s="19"/>
      <c r="E55" s="24"/>
      <c r="F55" s="19"/>
      <c r="G55" s="19"/>
      <c r="H55" s="25" t="str">
        <f t="shared" si="0"/>
        <v/>
      </c>
      <c r="I55" s="28"/>
      <c r="J55" s="28"/>
      <c r="K55" s="28"/>
      <c r="L55" s="25" t="str">
        <f t="shared" si="1"/>
        <v/>
      </c>
    </row>
    <row r="56" spans="1:12" x14ac:dyDescent="0.25">
      <c r="A56" s="15" t="s">
        <v>101</v>
      </c>
      <c r="B56" s="19"/>
      <c r="C56" s="19"/>
      <c r="D56" s="19"/>
      <c r="E56" s="24"/>
      <c r="F56" s="19"/>
      <c r="G56" s="19"/>
      <c r="H56" s="25" t="str">
        <f t="shared" si="0"/>
        <v/>
      </c>
      <c r="I56" s="28"/>
      <c r="J56" s="28"/>
      <c r="K56" s="28"/>
      <c r="L56" s="25" t="str">
        <f t="shared" si="1"/>
        <v/>
      </c>
    </row>
    <row r="57" spans="1:12" x14ac:dyDescent="0.25">
      <c r="A57" s="15" t="s">
        <v>102</v>
      </c>
      <c r="B57" s="19"/>
      <c r="C57" s="19"/>
      <c r="D57" s="19"/>
      <c r="E57" s="24"/>
      <c r="F57" s="19"/>
      <c r="G57" s="19"/>
      <c r="H57" s="25" t="str">
        <f t="shared" si="0"/>
        <v/>
      </c>
      <c r="I57" s="28"/>
      <c r="J57" s="28"/>
      <c r="K57" s="28"/>
      <c r="L57" s="25" t="str">
        <f t="shared" si="1"/>
        <v/>
      </c>
    </row>
    <row r="58" spans="1:12" x14ac:dyDescent="0.25">
      <c r="A58" s="15" t="s">
        <v>103</v>
      </c>
      <c r="B58" s="19"/>
      <c r="C58" s="19"/>
      <c r="D58" s="19"/>
      <c r="E58" s="24"/>
      <c r="F58" s="19"/>
      <c r="G58" s="19"/>
      <c r="H58" s="25" t="str">
        <f t="shared" si="0"/>
        <v/>
      </c>
      <c r="I58" s="28"/>
      <c r="J58" s="28"/>
      <c r="K58" s="28"/>
      <c r="L58" s="25" t="str">
        <f t="shared" si="1"/>
        <v/>
      </c>
    </row>
    <row r="59" spans="1:12" x14ac:dyDescent="0.25">
      <c r="A59" s="15" t="s">
        <v>104</v>
      </c>
      <c r="B59" s="19"/>
      <c r="C59" s="19"/>
      <c r="D59" s="19"/>
      <c r="E59" s="24"/>
      <c r="F59" s="19"/>
      <c r="G59" s="19"/>
      <c r="H59" s="25" t="str">
        <f t="shared" si="0"/>
        <v/>
      </c>
      <c r="I59" s="28"/>
      <c r="J59" s="28"/>
      <c r="K59" s="28"/>
      <c r="L59" s="25" t="str">
        <f t="shared" si="1"/>
        <v/>
      </c>
    </row>
    <row r="60" spans="1:12" x14ac:dyDescent="0.25">
      <c r="A60" s="15" t="s">
        <v>105</v>
      </c>
      <c r="B60" s="19"/>
      <c r="C60" s="19"/>
      <c r="D60" s="19"/>
      <c r="E60" s="24"/>
      <c r="F60" s="19"/>
      <c r="G60" s="19"/>
      <c r="H60" s="25" t="str">
        <f t="shared" si="0"/>
        <v/>
      </c>
      <c r="I60" s="28"/>
      <c r="J60" s="28"/>
      <c r="K60" s="28"/>
      <c r="L60" s="25" t="str">
        <f t="shared" si="1"/>
        <v/>
      </c>
    </row>
    <row r="61" spans="1:12" x14ac:dyDescent="0.25">
      <c r="A61" s="15" t="s">
        <v>106</v>
      </c>
      <c r="B61" s="19"/>
      <c r="C61" s="19"/>
      <c r="D61" s="19"/>
      <c r="E61" s="24"/>
      <c r="F61" s="19"/>
      <c r="G61" s="19"/>
      <c r="H61" s="25" t="str">
        <f t="shared" si="0"/>
        <v/>
      </c>
      <c r="I61" s="28"/>
      <c r="J61" s="28"/>
      <c r="K61" s="28"/>
      <c r="L61" s="25" t="str">
        <f t="shared" si="1"/>
        <v/>
      </c>
    </row>
    <row r="62" spans="1:12" x14ac:dyDescent="0.25">
      <c r="A62" s="15" t="s">
        <v>107</v>
      </c>
      <c r="B62" s="19"/>
      <c r="C62" s="19"/>
      <c r="D62" s="19"/>
      <c r="E62" s="24"/>
      <c r="F62" s="19"/>
      <c r="G62" s="19"/>
      <c r="H62" s="25" t="str">
        <f t="shared" si="0"/>
        <v/>
      </c>
      <c r="I62" s="28"/>
      <c r="J62" s="28"/>
      <c r="K62" s="28"/>
      <c r="L62" s="25" t="str">
        <f t="shared" si="1"/>
        <v/>
      </c>
    </row>
    <row r="63" spans="1:12" x14ac:dyDescent="0.25">
      <c r="A63" s="15" t="s">
        <v>108</v>
      </c>
      <c r="B63" s="19"/>
      <c r="C63" s="19"/>
      <c r="D63" s="19"/>
      <c r="E63" s="24"/>
      <c r="F63" s="19"/>
      <c r="G63" s="19"/>
      <c r="H63" s="25" t="str">
        <f t="shared" si="0"/>
        <v/>
      </c>
      <c r="I63" s="28"/>
      <c r="J63" s="28"/>
      <c r="K63" s="28"/>
      <c r="L63" s="25" t="str">
        <f t="shared" si="1"/>
        <v/>
      </c>
    </row>
    <row r="64" spans="1:12" x14ac:dyDescent="0.25">
      <c r="A64" s="15" t="s">
        <v>109</v>
      </c>
      <c r="B64" s="19"/>
      <c r="C64" s="19"/>
      <c r="D64" s="19"/>
      <c r="E64" s="24"/>
      <c r="F64" s="19"/>
      <c r="G64" s="19"/>
      <c r="H64" s="25" t="str">
        <f t="shared" si="0"/>
        <v/>
      </c>
      <c r="I64" s="28"/>
      <c r="J64" s="28"/>
      <c r="K64" s="28"/>
      <c r="L64" s="25" t="str">
        <f t="shared" si="1"/>
        <v/>
      </c>
    </row>
    <row r="65" spans="1:12" x14ac:dyDescent="0.25">
      <c r="A65" s="15" t="s">
        <v>110</v>
      </c>
      <c r="B65" s="19"/>
      <c r="C65" s="19"/>
      <c r="D65" s="19"/>
      <c r="E65" s="24"/>
      <c r="F65" s="19"/>
      <c r="G65" s="19"/>
      <c r="H65" s="25" t="str">
        <f t="shared" si="0"/>
        <v/>
      </c>
      <c r="I65" s="28"/>
      <c r="J65" s="28"/>
      <c r="K65" s="28"/>
      <c r="L65" s="25" t="str">
        <f t="shared" si="1"/>
        <v/>
      </c>
    </row>
    <row r="66" spans="1:12" x14ac:dyDescent="0.25">
      <c r="A66" s="15" t="s">
        <v>111</v>
      </c>
      <c r="B66" s="19"/>
      <c r="C66" s="19"/>
      <c r="D66" s="19"/>
      <c r="E66" s="24">
        <v>704.93</v>
      </c>
      <c r="F66" s="19">
        <f t="shared" si="3"/>
        <v>9.0978820592115532</v>
      </c>
      <c r="G66" s="19">
        <f>P11</f>
        <v>11.03448275862069</v>
      </c>
      <c r="H66" s="25">
        <f t="shared" si="0"/>
        <v>-1.9366006994091371</v>
      </c>
      <c r="I66" s="19">
        <v>18290.82</v>
      </c>
      <c r="J66" s="19">
        <f>IF(I66&gt;0,$I$3/I66,"")</f>
        <v>7.2079835458443089</v>
      </c>
      <c r="K66" s="19">
        <f>AA11</f>
        <v>12.8</v>
      </c>
      <c r="L66" s="25">
        <f t="shared" si="1"/>
        <v>-5.5920164541556918</v>
      </c>
    </row>
    <row r="67" spans="1:12" x14ac:dyDescent="0.25">
      <c r="A67" s="15" t="s">
        <v>112</v>
      </c>
      <c r="B67" s="19"/>
      <c r="C67" s="19"/>
      <c r="D67" s="19"/>
      <c r="E67" s="24"/>
      <c r="F67" s="19"/>
      <c r="G67" s="19"/>
      <c r="H67" s="25" t="str">
        <f t="shared" si="0"/>
        <v/>
      </c>
      <c r="I67" s="28"/>
      <c r="J67" s="28"/>
      <c r="K67" s="28"/>
      <c r="L67" s="25" t="str">
        <f t="shared" si="1"/>
        <v/>
      </c>
    </row>
    <row r="68" spans="1:12" x14ac:dyDescent="0.25">
      <c r="A68" s="15" t="s">
        <v>113</v>
      </c>
      <c r="B68" s="19"/>
      <c r="C68" s="19"/>
      <c r="D68" s="19"/>
      <c r="E68" s="24"/>
      <c r="F68" s="19"/>
      <c r="G68" s="19"/>
      <c r="H68" s="25" t="str">
        <f t="shared" si="0"/>
        <v/>
      </c>
      <c r="I68" s="28"/>
      <c r="J68" s="28"/>
      <c r="K68" s="28"/>
      <c r="L68" s="25" t="str">
        <f t="shared" si="1"/>
        <v/>
      </c>
    </row>
    <row r="69" spans="1:12" x14ac:dyDescent="0.25">
      <c r="A69" s="15" t="s">
        <v>114</v>
      </c>
      <c r="B69" s="19"/>
      <c r="C69" s="19"/>
      <c r="D69" s="19"/>
      <c r="E69" s="24"/>
      <c r="F69" s="19"/>
      <c r="G69" s="19"/>
      <c r="H69" s="25" t="str">
        <f t="shared" si="0"/>
        <v/>
      </c>
      <c r="I69" s="28"/>
      <c r="J69" s="28"/>
      <c r="K69" s="28"/>
      <c r="L69" s="25" t="str">
        <f t="shared" si="1"/>
        <v/>
      </c>
    </row>
    <row r="70" spans="1:12" x14ac:dyDescent="0.25">
      <c r="A70" s="15" t="s">
        <v>115</v>
      </c>
      <c r="B70" s="19"/>
      <c r="C70" s="19"/>
      <c r="D70" s="19"/>
      <c r="E70" s="24"/>
      <c r="F70" s="19"/>
      <c r="G70" s="19"/>
      <c r="H70" s="25" t="str">
        <f t="shared" si="0"/>
        <v/>
      </c>
      <c r="I70" s="28"/>
      <c r="J70" s="28"/>
      <c r="K70" s="28"/>
      <c r="L70" s="25" t="str">
        <f t="shared" si="1"/>
        <v/>
      </c>
    </row>
    <row r="71" spans="1:12" x14ac:dyDescent="0.25">
      <c r="A71" s="15" t="s">
        <v>116</v>
      </c>
      <c r="B71" s="19"/>
      <c r="C71" s="19"/>
      <c r="D71" s="19"/>
      <c r="E71" s="24"/>
      <c r="F71" s="19"/>
      <c r="G71" s="19"/>
      <c r="H71" s="25" t="str">
        <f t="shared" si="0"/>
        <v/>
      </c>
      <c r="I71" s="28"/>
      <c r="J71" s="28"/>
      <c r="K71" s="28"/>
      <c r="L71" s="25" t="str">
        <f t="shared" si="1"/>
        <v/>
      </c>
    </row>
    <row r="72" spans="1:12" x14ac:dyDescent="0.25">
      <c r="A72" s="15" t="s">
        <v>117</v>
      </c>
      <c r="B72" s="19"/>
      <c r="C72" s="19"/>
      <c r="D72" s="19"/>
      <c r="E72" s="24"/>
      <c r="F72" s="19"/>
      <c r="G72" s="19"/>
      <c r="H72" s="25" t="str">
        <f t="shared" si="0"/>
        <v/>
      </c>
      <c r="I72" s="28"/>
      <c r="J72" s="28"/>
      <c r="K72" s="28"/>
      <c r="L72" s="25" t="str">
        <f t="shared" si="1"/>
        <v/>
      </c>
    </row>
    <row r="73" spans="1:12" x14ac:dyDescent="0.25">
      <c r="A73" s="15" t="s">
        <v>118</v>
      </c>
      <c r="B73" s="19"/>
      <c r="C73" s="19"/>
      <c r="D73" s="19"/>
      <c r="E73" s="24"/>
      <c r="F73" s="19"/>
      <c r="G73" s="19"/>
      <c r="H73" s="25" t="str">
        <f t="shared" si="0"/>
        <v/>
      </c>
      <c r="I73" s="28"/>
      <c r="J73" s="28"/>
      <c r="K73" s="28"/>
      <c r="L73" s="25" t="str">
        <f t="shared" si="1"/>
        <v/>
      </c>
    </row>
    <row r="74" spans="1:12" x14ac:dyDescent="0.25">
      <c r="A74" s="15" t="s">
        <v>119</v>
      </c>
      <c r="B74" s="19"/>
      <c r="C74" s="19"/>
      <c r="D74" s="19"/>
      <c r="E74" s="24"/>
      <c r="F74" s="19"/>
      <c r="G74" s="19"/>
      <c r="H74" s="25" t="str">
        <f t="shared" si="0"/>
        <v/>
      </c>
      <c r="I74" s="28"/>
      <c r="J74" s="28"/>
      <c r="K74" s="28"/>
      <c r="L74" s="25" t="str">
        <f t="shared" si="1"/>
        <v/>
      </c>
    </row>
    <row r="75" spans="1:12" x14ac:dyDescent="0.25">
      <c r="A75" s="15" t="s">
        <v>120</v>
      </c>
      <c r="B75" s="19"/>
      <c r="C75" s="19"/>
      <c r="D75" s="19"/>
      <c r="E75" s="24"/>
      <c r="F75" s="19"/>
      <c r="G75" s="19"/>
      <c r="H75" s="25" t="str">
        <f t="shared" si="0"/>
        <v/>
      </c>
      <c r="I75" s="28"/>
      <c r="J75" s="28"/>
      <c r="K75" s="28"/>
      <c r="L75" s="25" t="str">
        <f t="shared" si="1"/>
        <v/>
      </c>
    </row>
    <row r="76" spans="1:12" x14ac:dyDescent="0.25">
      <c r="A76" s="15" t="s">
        <v>121</v>
      </c>
      <c r="B76" s="19"/>
      <c r="C76" s="19"/>
      <c r="D76" s="19"/>
      <c r="E76" s="24"/>
      <c r="F76" s="19"/>
      <c r="G76" s="19"/>
      <c r="H76" s="25" t="str">
        <f t="shared" si="0"/>
        <v/>
      </c>
      <c r="I76" s="28"/>
      <c r="J76" s="28"/>
      <c r="K76" s="28"/>
      <c r="L76" s="25" t="str">
        <f t="shared" si="1"/>
        <v/>
      </c>
    </row>
    <row r="77" spans="1:12" x14ac:dyDescent="0.25">
      <c r="A77" s="15" t="s">
        <v>122</v>
      </c>
      <c r="B77" s="19"/>
      <c r="C77" s="19"/>
      <c r="D77" s="19"/>
      <c r="E77" s="24"/>
      <c r="F77" s="19"/>
      <c r="G77" s="19"/>
      <c r="H77" s="25" t="str">
        <f t="shared" si="0"/>
        <v/>
      </c>
      <c r="I77" s="28"/>
      <c r="J77" s="28"/>
      <c r="K77" s="28"/>
      <c r="L77" s="25" t="str">
        <f t="shared" si="1"/>
        <v/>
      </c>
    </row>
    <row r="78" spans="1:12" x14ac:dyDescent="0.25">
      <c r="A78" s="15" t="s">
        <v>123</v>
      </c>
      <c r="B78" s="19"/>
      <c r="C78" s="19"/>
      <c r="D78" s="19"/>
      <c r="E78" s="24"/>
      <c r="F78" s="19"/>
      <c r="G78" s="19"/>
      <c r="H78" s="25" t="str">
        <f t="shared" si="0"/>
        <v/>
      </c>
      <c r="I78" s="28"/>
      <c r="J78" s="28"/>
      <c r="K78" s="28"/>
      <c r="L78" s="25" t="str">
        <f t="shared" si="1"/>
        <v/>
      </c>
    </row>
    <row r="79" spans="1:12" x14ac:dyDescent="0.25">
      <c r="A79" s="15" t="s">
        <v>124</v>
      </c>
      <c r="B79" s="19"/>
      <c r="C79" s="19"/>
      <c r="D79" s="19"/>
      <c r="E79" s="24"/>
      <c r="F79" s="19"/>
      <c r="G79" s="19"/>
      <c r="H79" s="25" t="str">
        <f t="shared" si="0"/>
        <v/>
      </c>
      <c r="I79" s="28"/>
      <c r="J79" s="28"/>
      <c r="K79" s="28"/>
      <c r="L79" s="25" t="str">
        <f t="shared" si="1"/>
        <v/>
      </c>
    </row>
    <row r="80" spans="1:12" x14ac:dyDescent="0.25">
      <c r="A80" s="15" t="s">
        <v>125</v>
      </c>
      <c r="B80" s="19"/>
      <c r="C80" s="19"/>
      <c r="D80" s="19"/>
      <c r="E80" s="24"/>
      <c r="F80" s="19"/>
      <c r="G80" s="19"/>
      <c r="H80" s="25" t="str">
        <f t="shared" si="0"/>
        <v/>
      </c>
      <c r="I80" s="28"/>
      <c r="J80" s="28"/>
      <c r="K80" s="28"/>
      <c r="L80" s="25" t="str">
        <f t="shared" si="1"/>
        <v/>
      </c>
    </row>
    <row r="81" spans="1:12" x14ac:dyDescent="0.25">
      <c r="A81" s="15" t="s">
        <v>126</v>
      </c>
      <c r="B81" s="19"/>
      <c r="C81" s="19"/>
      <c r="D81" s="19"/>
      <c r="E81" s="24"/>
      <c r="F81" s="19"/>
      <c r="G81" s="19"/>
      <c r="H81" s="25" t="str">
        <f t="shared" si="0"/>
        <v/>
      </c>
      <c r="I81" s="28"/>
      <c r="J81" s="28"/>
      <c r="K81" s="28"/>
      <c r="L81" s="25" t="str">
        <f t="shared" si="1"/>
        <v/>
      </c>
    </row>
    <row r="82" spans="1:12" x14ac:dyDescent="0.25">
      <c r="A82" s="15" t="s">
        <v>127</v>
      </c>
      <c r="B82" s="19"/>
      <c r="C82" s="19"/>
      <c r="D82" s="19"/>
      <c r="E82" s="24"/>
      <c r="F82" s="19"/>
      <c r="G82" s="19"/>
      <c r="H82" s="25" t="str">
        <f t="shared" si="0"/>
        <v/>
      </c>
      <c r="I82" s="28"/>
      <c r="J82" s="28"/>
      <c r="K82" s="28"/>
      <c r="L82" s="25" t="str">
        <f t="shared" si="1"/>
        <v/>
      </c>
    </row>
    <row r="83" spans="1:12" x14ac:dyDescent="0.25">
      <c r="A83" s="15" t="s">
        <v>128</v>
      </c>
      <c r="B83" s="19"/>
      <c r="C83" s="19"/>
      <c r="D83" s="19"/>
      <c r="E83" s="24"/>
      <c r="F83" s="19"/>
      <c r="G83" s="19"/>
      <c r="H83" s="25" t="str">
        <f t="shared" si="0"/>
        <v/>
      </c>
      <c r="I83" s="28"/>
      <c r="J83" s="28"/>
      <c r="K83" s="28"/>
      <c r="L83" s="25" t="str">
        <f t="shared" si="1"/>
        <v/>
      </c>
    </row>
    <row r="84" spans="1:12" x14ac:dyDescent="0.25">
      <c r="A84" s="15" t="s">
        <v>129</v>
      </c>
      <c r="B84" s="19"/>
      <c r="C84" s="19"/>
      <c r="D84" s="19"/>
      <c r="E84" s="24"/>
      <c r="F84" s="19"/>
      <c r="G84" s="19"/>
      <c r="H84" s="25" t="str">
        <f t="shared" si="0"/>
        <v/>
      </c>
      <c r="I84" s="28"/>
      <c r="J84" s="28"/>
      <c r="K84" s="28"/>
      <c r="L84" s="25" t="str">
        <f t="shared" si="1"/>
        <v/>
      </c>
    </row>
    <row r="85" spans="1:12" x14ac:dyDescent="0.25">
      <c r="A85" s="15" t="s">
        <v>130</v>
      </c>
      <c r="B85" s="19"/>
      <c r="C85" s="19"/>
      <c r="D85" s="19"/>
      <c r="E85" s="24"/>
      <c r="F85" s="19"/>
      <c r="G85" s="19"/>
      <c r="H85" s="25" t="str">
        <f t="shared" si="0"/>
        <v/>
      </c>
      <c r="I85" s="28"/>
      <c r="J85" s="28"/>
      <c r="K85" s="28"/>
      <c r="L85" s="25" t="str">
        <f t="shared" si="1"/>
        <v/>
      </c>
    </row>
    <row r="86" spans="1:12" x14ac:dyDescent="0.25">
      <c r="A86" s="15" t="s">
        <v>131</v>
      </c>
      <c r="B86" s="19"/>
      <c r="C86" s="19"/>
      <c r="D86" s="19"/>
      <c r="E86" s="24"/>
      <c r="F86" s="19"/>
      <c r="G86" s="19"/>
      <c r="H86" s="25" t="str">
        <f t="shared" si="0"/>
        <v/>
      </c>
      <c r="I86" s="28"/>
      <c r="J86" s="28"/>
      <c r="K86" s="28"/>
      <c r="L86" s="25" t="str">
        <f t="shared" si="1"/>
        <v/>
      </c>
    </row>
    <row r="87" spans="1:12" x14ac:dyDescent="0.25">
      <c r="A87" s="15" t="s">
        <v>132</v>
      </c>
      <c r="B87" s="19"/>
      <c r="C87" s="19"/>
      <c r="D87" s="19"/>
      <c r="E87" s="24"/>
      <c r="F87" s="19"/>
      <c r="G87" s="19"/>
      <c r="H87" s="25" t="str">
        <f t="shared" si="0"/>
        <v/>
      </c>
      <c r="I87" s="28"/>
      <c r="J87" s="28"/>
      <c r="K87" s="28"/>
      <c r="L87" s="25" t="str">
        <f t="shared" si="1"/>
        <v/>
      </c>
    </row>
    <row r="88" spans="1:12" x14ac:dyDescent="0.25">
      <c r="A88" s="15" t="s">
        <v>133</v>
      </c>
      <c r="B88" s="19"/>
      <c r="C88" s="19"/>
      <c r="D88" s="19"/>
      <c r="E88" s="24"/>
      <c r="F88" s="19"/>
      <c r="G88" s="19"/>
      <c r="H88" s="25" t="str">
        <f t="shared" si="0"/>
        <v/>
      </c>
      <c r="I88" s="28"/>
      <c r="J88" s="28"/>
      <c r="K88" s="28"/>
      <c r="L88" s="25" t="str">
        <f t="shared" si="1"/>
        <v/>
      </c>
    </row>
    <row r="89" spans="1:12" x14ac:dyDescent="0.25">
      <c r="A89" s="15" t="s">
        <v>134</v>
      </c>
      <c r="B89" s="19"/>
      <c r="C89" s="19"/>
      <c r="D89" s="19"/>
      <c r="E89" s="24"/>
      <c r="F89" s="19"/>
      <c r="G89" s="19"/>
      <c r="H89" s="25" t="str">
        <f t="shared" si="0"/>
        <v/>
      </c>
      <c r="I89" s="28"/>
      <c r="J89" s="28"/>
      <c r="K89" s="28"/>
      <c r="L89" s="25" t="str">
        <f t="shared" si="1"/>
        <v/>
      </c>
    </row>
    <row r="90" spans="1:12" x14ac:dyDescent="0.25">
      <c r="A90" s="15" t="s">
        <v>135</v>
      </c>
      <c r="B90" s="19"/>
      <c r="C90" s="19"/>
      <c r="D90" s="19"/>
      <c r="E90" s="24"/>
      <c r="F90" s="19"/>
      <c r="G90" s="19"/>
      <c r="H90" s="25" t="str">
        <f t="shared" si="0"/>
        <v/>
      </c>
      <c r="I90" s="28"/>
      <c r="J90" s="28"/>
      <c r="K90" s="28"/>
      <c r="L90" s="25" t="str">
        <f t="shared" si="1"/>
        <v/>
      </c>
    </row>
    <row r="91" spans="1:12" x14ac:dyDescent="0.25">
      <c r="A91" s="15" t="s">
        <v>136</v>
      </c>
      <c r="B91" s="19"/>
      <c r="C91" s="19"/>
      <c r="D91" s="19"/>
      <c r="E91" s="24"/>
      <c r="F91" s="19"/>
      <c r="G91" s="19"/>
      <c r="H91" s="25" t="str">
        <f t="shared" si="0"/>
        <v/>
      </c>
      <c r="I91" s="28"/>
      <c r="J91" s="28"/>
      <c r="K91" s="28"/>
      <c r="L91" s="25" t="str">
        <f t="shared" si="1"/>
        <v/>
      </c>
    </row>
    <row r="92" spans="1:12" x14ac:dyDescent="0.25">
      <c r="A92" s="15" t="s">
        <v>137</v>
      </c>
      <c r="B92" s="19"/>
      <c r="C92" s="19"/>
      <c r="D92" s="19"/>
      <c r="E92" s="24"/>
      <c r="F92" s="19"/>
      <c r="G92" s="19"/>
      <c r="H92" s="25" t="str">
        <f t="shared" si="0"/>
        <v/>
      </c>
      <c r="I92" s="28"/>
      <c r="J92" s="28"/>
      <c r="K92" s="28"/>
      <c r="L92" s="25" t="str">
        <f t="shared" si="1"/>
        <v/>
      </c>
    </row>
    <row r="93" spans="1:12" x14ac:dyDescent="0.25">
      <c r="A93" s="15" t="s">
        <v>138</v>
      </c>
      <c r="B93" s="19"/>
      <c r="C93" s="19"/>
      <c r="D93" s="19"/>
      <c r="E93" s="24"/>
      <c r="F93" s="19"/>
      <c r="G93" s="19"/>
      <c r="H93" s="25" t="str">
        <f t="shared" si="0"/>
        <v/>
      </c>
      <c r="I93" s="28"/>
      <c r="J93" s="28"/>
      <c r="K93" s="28"/>
      <c r="L93" s="25" t="str">
        <f t="shared" si="1"/>
        <v/>
      </c>
    </row>
    <row r="94" spans="1:12" x14ac:dyDescent="0.25">
      <c r="A94" s="15" t="s">
        <v>139</v>
      </c>
      <c r="B94" s="19"/>
      <c r="C94" s="19"/>
      <c r="D94" s="19"/>
      <c r="E94" s="24"/>
      <c r="F94" s="19"/>
      <c r="G94" s="19"/>
      <c r="H94" s="25" t="str">
        <f t="shared" si="0"/>
        <v/>
      </c>
      <c r="I94" s="28"/>
      <c r="J94" s="28"/>
      <c r="K94" s="28"/>
      <c r="L94" s="25" t="str">
        <f t="shared" si="1"/>
        <v/>
      </c>
    </row>
    <row r="95" spans="1:12" x14ac:dyDescent="0.25">
      <c r="A95" s="15" t="s">
        <v>140</v>
      </c>
      <c r="B95" s="19"/>
      <c r="C95" s="19"/>
      <c r="D95" s="19"/>
      <c r="E95" s="24"/>
      <c r="F95" s="19"/>
      <c r="G95" s="19"/>
      <c r="H95" s="25" t="str">
        <f t="shared" si="0"/>
        <v/>
      </c>
      <c r="I95" s="28"/>
      <c r="J95" s="28"/>
      <c r="K95" s="28"/>
      <c r="L95" s="25" t="str">
        <f t="shared" si="1"/>
        <v/>
      </c>
    </row>
    <row r="96" spans="1:12" x14ac:dyDescent="0.25">
      <c r="A96" s="15" t="s">
        <v>141</v>
      </c>
      <c r="B96" s="19"/>
      <c r="C96" s="19"/>
      <c r="D96" s="19"/>
      <c r="E96" s="24"/>
      <c r="F96" s="19"/>
      <c r="G96" s="19"/>
      <c r="H96" s="25" t="str">
        <f t="shared" si="0"/>
        <v/>
      </c>
      <c r="I96" s="28"/>
      <c r="J96" s="28"/>
      <c r="K96" s="28"/>
      <c r="L96" s="25" t="str">
        <f t="shared" si="1"/>
        <v/>
      </c>
    </row>
    <row r="97" spans="1:12" x14ac:dyDescent="0.25">
      <c r="A97" s="15" t="s">
        <v>142</v>
      </c>
      <c r="B97" s="19"/>
      <c r="C97" s="19"/>
      <c r="D97" s="19"/>
      <c r="E97" s="24"/>
      <c r="F97" s="19"/>
      <c r="G97" s="19"/>
      <c r="H97" s="25" t="str">
        <f t="shared" si="0"/>
        <v/>
      </c>
      <c r="I97" s="28"/>
      <c r="J97" s="28"/>
      <c r="K97" s="28"/>
      <c r="L97" s="25" t="str">
        <f t="shared" si="1"/>
        <v/>
      </c>
    </row>
    <row r="98" spans="1:12" x14ac:dyDescent="0.25">
      <c r="A98" s="15" t="s">
        <v>143</v>
      </c>
      <c r="B98" s="19"/>
      <c r="C98" s="19"/>
      <c r="D98" s="19"/>
      <c r="E98" s="24"/>
      <c r="F98" s="19"/>
      <c r="G98" s="19"/>
      <c r="H98" s="25" t="str">
        <f t="shared" si="0"/>
        <v/>
      </c>
      <c r="I98" s="28"/>
      <c r="J98" s="28"/>
      <c r="K98" s="28"/>
      <c r="L98" s="25" t="str">
        <f t="shared" si="1"/>
        <v/>
      </c>
    </row>
    <row r="99" spans="1:12" x14ac:dyDescent="0.25">
      <c r="A99" s="15" t="s">
        <v>144</v>
      </c>
      <c r="B99" s="19"/>
      <c r="C99" s="19"/>
      <c r="D99" s="19"/>
      <c r="E99" s="24"/>
      <c r="F99" s="19"/>
      <c r="G99" s="19"/>
      <c r="H99" s="25" t="str">
        <f t="shared" si="0"/>
        <v/>
      </c>
      <c r="I99" s="28"/>
      <c r="J99" s="28"/>
      <c r="K99" s="28"/>
      <c r="L99" s="25" t="str">
        <f t="shared" si="1"/>
        <v/>
      </c>
    </row>
    <row r="100" spans="1:12" x14ac:dyDescent="0.25">
      <c r="A100" s="15" t="s">
        <v>145</v>
      </c>
      <c r="B100" s="19"/>
      <c r="C100" s="19"/>
      <c r="D100" s="19"/>
      <c r="E100" s="24"/>
      <c r="F100" s="19"/>
      <c r="G100" s="19"/>
      <c r="H100" s="25" t="str">
        <f t="shared" si="0"/>
        <v/>
      </c>
      <c r="I100" s="28"/>
      <c r="J100" s="28"/>
      <c r="K100" s="28"/>
      <c r="L100" s="25" t="str">
        <f t="shared" si="1"/>
        <v/>
      </c>
    </row>
    <row r="101" spans="1:12" x14ac:dyDescent="0.25">
      <c r="A101" s="15" t="s">
        <v>146</v>
      </c>
      <c r="B101" s="19"/>
      <c r="C101" s="19"/>
      <c r="D101" s="19"/>
      <c r="E101" s="24"/>
      <c r="F101" s="19"/>
      <c r="G101" s="19"/>
      <c r="H101" s="25" t="str">
        <f t="shared" si="0"/>
        <v/>
      </c>
      <c r="I101" s="28"/>
      <c r="J101" s="28"/>
      <c r="K101" s="28"/>
      <c r="L101" s="25" t="str">
        <f t="shared" si="1"/>
        <v/>
      </c>
    </row>
    <row r="102" spans="1:12" x14ac:dyDescent="0.25">
      <c r="A102" s="15" t="s">
        <v>147</v>
      </c>
      <c r="B102" s="19"/>
      <c r="C102" s="19"/>
      <c r="D102" s="19"/>
      <c r="E102" s="24"/>
      <c r="F102" s="19"/>
      <c r="G102" s="19"/>
      <c r="H102" s="25" t="str">
        <f t="shared" si="0"/>
        <v/>
      </c>
      <c r="I102" s="28"/>
      <c r="J102" s="28"/>
      <c r="K102" s="28"/>
      <c r="L102" s="25" t="str">
        <f t="shared" si="1"/>
        <v/>
      </c>
    </row>
    <row r="103" spans="1:12" x14ac:dyDescent="0.25">
      <c r="A103" s="15" t="s">
        <v>148</v>
      </c>
      <c r="B103" s="19"/>
      <c r="C103" s="19"/>
      <c r="D103" s="19"/>
      <c r="E103" s="24"/>
      <c r="F103" s="19"/>
      <c r="G103" s="19"/>
      <c r="H103" s="25" t="str">
        <f t="shared" si="0"/>
        <v/>
      </c>
      <c r="I103" s="28"/>
      <c r="J103" s="28"/>
      <c r="K103" s="28"/>
      <c r="L103" s="25" t="str">
        <f t="shared" si="1"/>
        <v/>
      </c>
    </row>
    <row r="104" spans="1:12" x14ac:dyDescent="0.25">
      <c r="A104" s="15" t="s">
        <v>149</v>
      </c>
      <c r="B104" s="19"/>
      <c r="C104" s="19"/>
      <c r="D104" s="19"/>
      <c r="E104" s="24"/>
      <c r="F104" s="19"/>
      <c r="G104" s="19"/>
      <c r="H104" s="25" t="str">
        <f t="shared" si="0"/>
        <v/>
      </c>
      <c r="I104" s="28"/>
      <c r="J104" s="28"/>
      <c r="K104" s="28"/>
      <c r="L104" s="25" t="str">
        <f t="shared" si="1"/>
        <v/>
      </c>
    </row>
    <row r="105" spans="1:12" x14ac:dyDescent="0.25">
      <c r="A105" s="15" t="s">
        <v>150</v>
      </c>
      <c r="B105" s="19"/>
      <c r="C105" s="19"/>
      <c r="D105" s="19"/>
      <c r="E105" s="24"/>
      <c r="F105" s="19"/>
      <c r="G105" s="19"/>
      <c r="H105" s="25" t="str">
        <f t="shared" si="0"/>
        <v/>
      </c>
      <c r="I105" s="28"/>
      <c r="J105" s="28"/>
      <c r="K105" s="28"/>
      <c r="L105" s="25" t="str">
        <f t="shared" si="1"/>
        <v/>
      </c>
    </row>
    <row r="106" spans="1:12" x14ac:dyDescent="0.25">
      <c r="A106" s="15" t="s">
        <v>151</v>
      </c>
      <c r="B106" s="19"/>
      <c r="C106" s="19"/>
      <c r="D106" s="19"/>
      <c r="E106" s="24"/>
      <c r="F106" s="19"/>
      <c r="G106" s="19"/>
      <c r="H106" s="25" t="str">
        <f t="shared" si="0"/>
        <v/>
      </c>
      <c r="I106" s="28"/>
      <c r="J106" s="28"/>
      <c r="K106" s="28"/>
      <c r="L106" s="25" t="str">
        <f t="shared" si="1"/>
        <v/>
      </c>
    </row>
    <row r="107" spans="1:12" x14ac:dyDescent="0.25">
      <c r="A107" s="15" t="s">
        <v>152</v>
      </c>
      <c r="B107" s="19"/>
      <c r="C107" s="19"/>
      <c r="D107" s="19"/>
      <c r="E107" s="24"/>
      <c r="F107" s="19"/>
      <c r="G107" s="19"/>
      <c r="H107" s="25" t="str">
        <f t="shared" si="0"/>
        <v/>
      </c>
      <c r="I107" s="28"/>
      <c r="J107" s="28"/>
      <c r="K107" s="28"/>
      <c r="L107" s="25" t="str">
        <f t="shared" si="1"/>
        <v/>
      </c>
    </row>
    <row r="108" spans="1:12" x14ac:dyDescent="0.25">
      <c r="A108" s="15" t="s">
        <v>153</v>
      </c>
      <c r="B108" s="19"/>
      <c r="C108" s="19"/>
      <c r="D108" s="19"/>
      <c r="E108" s="24"/>
      <c r="F108" s="19"/>
      <c r="G108" s="19"/>
      <c r="H108" s="25" t="str">
        <f t="shared" si="0"/>
        <v/>
      </c>
      <c r="I108" s="28"/>
      <c r="J108" s="28"/>
      <c r="K108" s="28"/>
      <c r="L108" s="25" t="str">
        <f t="shared" si="1"/>
        <v/>
      </c>
    </row>
    <row r="109" spans="1:12" x14ac:dyDescent="0.25">
      <c r="A109" s="15" t="s">
        <v>154</v>
      </c>
      <c r="B109" s="19"/>
      <c r="C109" s="19"/>
      <c r="D109" s="19"/>
      <c r="E109" s="24"/>
      <c r="F109" s="19"/>
      <c r="G109" s="19"/>
      <c r="H109" s="25" t="str">
        <f t="shared" si="0"/>
        <v/>
      </c>
      <c r="I109" s="28"/>
      <c r="J109" s="28"/>
      <c r="K109" s="28"/>
      <c r="L109" s="25" t="str">
        <f t="shared" si="1"/>
        <v/>
      </c>
    </row>
    <row r="110" spans="1:12" x14ac:dyDescent="0.25">
      <c r="A110" s="15" t="s">
        <v>155</v>
      </c>
      <c r="B110" s="19"/>
      <c r="C110" s="19"/>
      <c r="D110" s="19"/>
      <c r="E110" s="24"/>
      <c r="F110" s="19"/>
      <c r="G110" s="19"/>
      <c r="H110" s="25" t="str">
        <f t="shared" si="0"/>
        <v/>
      </c>
      <c r="I110" s="28"/>
      <c r="J110" s="28"/>
      <c r="K110" s="28"/>
      <c r="L110" s="25" t="str">
        <f t="shared" si="1"/>
        <v/>
      </c>
    </row>
    <row r="111" spans="1:12" x14ac:dyDescent="0.25">
      <c r="A111" s="15" t="s">
        <v>156</v>
      </c>
      <c r="B111" s="19"/>
      <c r="C111" s="19"/>
      <c r="D111" s="19"/>
      <c r="E111" s="24"/>
      <c r="F111" s="19"/>
      <c r="G111" s="19"/>
      <c r="H111" s="25" t="str">
        <f t="shared" si="0"/>
        <v/>
      </c>
      <c r="I111" s="28"/>
      <c r="J111" s="28"/>
      <c r="K111" s="28"/>
      <c r="L111" s="25" t="str">
        <f t="shared" si="1"/>
        <v/>
      </c>
    </row>
    <row r="112" spans="1:12" x14ac:dyDescent="0.25">
      <c r="A112" s="15" t="s">
        <v>157</v>
      </c>
      <c r="B112" s="19"/>
      <c r="C112" s="19"/>
      <c r="D112" s="19"/>
      <c r="E112" s="24"/>
      <c r="F112" s="19"/>
      <c r="G112" s="19"/>
      <c r="H112" s="25" t="str">
        <f t="shared" si="0"/>
        <v/>
      </c>
      <c r="I112" s="28"/>
      <c r="J112" s="28"/>
      <c r="K112" s="28"/>
      <c r="L112" s="25" t="str">
        <f t="shared" si="1"/>
        <v/>
      </c>
    </row>
    <row r="113" spans="1:12" x14ac:dyDescent="0.25">
      <c r="A113" s="15" t="s">
        <v>158</v>
      </c>
      <c r="B113" s="19"/>
      <c r="C113" s="19"/>
      <c r="D113" s="19"/>
      <c r="E113" s="24"/>
      <c r="F113" s="19"/>
      <c r="G113" s="19"/>
      <c r="H113" s="25" t="str">
        <f t="shared" si="0"/>
        <v/>
      </c>
      <c r="I113" s="28"/>
      <c r="J113" s="28"/>
      <c r="K113" s="28"/>
      <c r="L113" s="25" t="str">
        <f t="shared" si="1"/>
        <v/>
      </c>
    </row>
    <row r="114" spans="1:12" x14ac:dyDescent="0.25">
      <c r="A114" s="15" t="s">
        <v>159</v>
      </c>
      <c r="B114" s="19"/>
      <c r="C114" s="19"/>
      <c r="D114" s="19"/>
      <c r="E114" s="24"/>
      <c r="F114" s="19"/>
      <c r="G114" s="19"/>
      <c r="H114" s="25" t="str">
        <f t="shared" si="0"/>
        <v/>
      </c>
      <c r="I114" s="28"/>
      <c r="J114" s="28"/>
      <c r="K114" s="28"/>
      <c r="L114" s="25" t="str">
        <f t="shared" si="1"/>
        <v/>
      </c>
    </row>
    <row r="115" spans="1:12" x14ac:dyDescent="0.25">
      <c r="A115" s="15" t="s">
        <v>160</v>
      </c>
      <c r="B115" s="19"/>
      <c r="C115" s="19"/>
      <c r="D115" s="19"/>
      <c r="E115" s="24"/>
      <c r="F115" s="19"/>
      <c r="G115" s="19"/>
      <c r="H115" s="25" t="str">
        <f t="shared" si="0"/>
        <v/>
      </c>
      <c r="I115" s="28"/>
      <c r="J115" s="28"/>
      <c r="K115" s="28"/>
      <c r="L115" s="25" t="str">
        <f t="shared" si="1"/>
        <v/>
      </c>
    </row>
    <row r="116" spans="1:12" x14ac:dyDescent="0.25">
      <c r="A116" s="15" t="s">
        <v>161</v>
      </c>
      <c r="B116" s="19"/>
      <c r="C116" s="19"/>
      <c r="D116" s="19"/>
      <c r="E116" s="24"/>
      <c r="F116" s="19"/>
      <c r="G116" s="19"/>
      <c r="H116" s="25" t="str">
        <f t="shared" si="0"/>
        <v/>
      </c>
      <c r="I116" s="28"/>
      <c r="J116" s="28"/>
      <c r="K116" s="28"/>
      <c r="L116" s="25" t="str">
        <f t="shared" si="1"/>
        <v/>
      </c>
    </row>
    <row r="117" spans="1:12" x14ac:dyDescent="0.25">
      <c r="A117" s="15" t="s">
        <v>162</v>
      </c>
      <c r="B117" s="19"/>
      <c r="C117" s="19"/>
      <c r="D117" s="19"/>
      <c r="E117" s="24"/>
      <c r="F117" s="19"/>
      <c r="G117" s="19"/>
      <c r="H117" s="25" t="str">
        <f t="shared" si="0"/>
        <v/>
      </c>
      <c r="I117" s="28"/>
      <c r="J117" s="28"/>
      <c r="K117" s="28"/>
      <c r="L117" s="25" t="str">
        <f t="shared" si="1"/>
        <v/>
      </c>
    </row>
    <row r="118" spans="1:12" x14ac:dyDescent="0.25">
      <c r="A118" s="15" t="s">
        <v>163</v>
      </c>
      <c r="B118" s="19"/>
      <c r="C118" s="19"/>
      <c r="D118" s="19"/>
      <c r="E118" s="24"/>
      <c r="F118" s="19"/>
      <c r="G118" s="19"/>
      <c r="H118" s="25" t="str">
        <f t="shared" si="0"/>
        <v/>
      </c>
      <c r="I118" s="28"/>
      <c r="J118" s="28"/>
      <c r="K118" s="28"/>
      <c r="L118" s="25" t="str">
        <f t="shared" si="1"/>
        <v/>
      </c>
    </row>
    <row r="119" spans="1:12" x14ac:dyDescent="0.25">
      <c r="A119" s="15" t="s">
        <v>164</v>
      </c>
      <c r="B119" s="19"/>
      <c r="C119" s="19"/>
      <c r="D119" s="19"/>
      <c r="E119" s="24"/>
      <c r="F119" s="19"/>
      <c r="G119" s="19"/>
      <c r="H119" s="25" t="str">
        <f t="shared" si="0"/>
        <v/>
      </c>
      <c r="I119" s="28"/>
      <c r="J119" s="28"/>
      <c r="K119" s="28"/>
      <c r="L119" s="25" t="str">
        <f t="shared" si="1"/>
        <v/>
      </c>
    </row>
    <row r="120" spans="1:12" x14ac:dyDescent="0.25">
      <c r="A120" s="15" t="s">
        <v>165</v>
      </c>
      <c r="B120" s="19"/>
      <c r="C120" s="19"/>
      <c r="D120" s="19"/>
      <c r="E120" s="24"/>
      <c r="F120" s="19"/>
      <c r="G120" s="19"/>
      <c r="H120" s="25" t="str">
        <f t="shared" si="0"/>
        <v/>
      </c>
      <c r="I120" s="28"/>
      <c r="J120" s="28"/>
      <c r="K120" s="28"/>
      <c r="L120" s="25" t="str">
        <f t="shared" si="1"/>
        <v/>
      </c>
    </row>
    <row r="121" spans="1:12" x14ac:dyDescent="0.25">
      <c r="A121" s="15" t="s">
        <v>166</v>
      </c>
      <c r="B121" s="19"/>
      <c r="C121" s="19"/>
      <c r="D121" s="19"/>
      <c r="E121" s="24"/>
      <c r="F121" s="19"/>
      <c r="G121" s="19"/>
      <c r="H121" s="25" t="str">
        <f t="shared" si="0"/>
        <v/>
      </c>
      <c r="I121" s="28"/>
      <c r="J121" s="28"/>
      <c r="K121" s="28"/>
      <c r="L121" s="25" t="str">
        <f t="shared" si="1"/>
        <v/>
      </c>
    </row>
    <row r="122" spans="1:12" x14ac:dyDescent="0.25">
      <c r="A122" s="15" t="s">
        <v>167</v>
      </c>
      <c r="B122" s="19"/>
      <c r="C122" s="19"/>
      <c r="D122" s="19"/>
      <c r="E122" s="24"/>
      <c r="F122" s="19"/>
      <c r="G122" s="19"/>
      <c r="H122" s="25" t="str">
        <f t="shared" si="0"/>
        <v/>
      </c>
      <c r="I122" s="28"/>
      <c r="J122" s="28"/>
      <c r="K122" s="28"/>
      <c r="L122" s="25" t="str">
        <f t="shared" si="1"/>
        <v/>
      </c>
    </row>
    <row r="123" spans="1:12" x14ac:dyDescent="0.25">
      <c r="A123" s="15" t="s">
        <v>168</v>
      </c>
      <c r="B123" s="19"/>
      <c r="C123" s="19"/>
      <c r="D123" s="19"/>
      <c r="E123" s="24"/>
      <c r="F123" s="19"/>
      <c r="G123" s="19"/>
      <c r="H123" s="25" t="str">
        <f t="shared" si="0"/>
        <v/>
      </c>
      <c r="I123" s="28"/>
      <c r="J123" s="28"/>
      <c r="K123" s="28"/>
      <c r="L123" s="25" t="str">
        <f t="shared" si="1"/>
        <v/>
      </c>
    </row>
    <row r="124" spans="1:12" x14ac:dyDescent="0.25">
      <c r="A124" s="15" t="s">
        <v>169</v>
      </c>
      <c r="B124" s="19"/>
      <c r="C124" s="19"/>
      <c r="D124" s="19"/>
      <c r="E124" s="24"/>
      <c r="F124" s="19"/>
      <c r="G124" s="19"/>
      <c r="H124" s="25" t="str">
        <f t="shared" si="0"/>
        <v/>
      </c>
      <c r="I124" s="28"/>
      <c r="J124" s="28"/>
      <c r="K124" s="28"/>
      <c r="L124" s="25" t="str">
        <f t="shared" si="1"/>
        <v/>
      </c>
    </row>
    <row r="125" spans="1:12" x14ac:dyDescent="0.25">
      <c r="A125" s="15" t="s">
        <v>170</v>
      </c>
      <c r="B125" s="19"/>
      <c r="C125" s="19"/>
      <c r="D125" s="19"/>
      <c r="E125" s="24"/>
      <c r="F125" s="19"/>
      <c r="G125" s="19"/>
      <c r="H125" s="25" t="str">
        <f t="shared" si="0"/>
        <v/>
      </c>
      <c r="I125" s="28"/>
      <c r="J125" s="28"/>
      <c r="K125" s="28"/>
      <c r="L125" s="25" t="str">
        <f t="shared" si="1"/>
        <v/>
      </c>
    </row>
    <row r="126" spans="1:12" x14ac:dyDescent="0.25">
      <c r="A126" s="15" t="s">
        <v>171</v>
      </c>
      <c r="B126" s="19"/>
      <c r="C126" s="19"/>
      <c r="D126" s="19"/>
      <c r="E126" s="24"/>
      <c r="F126" s="19"/>
      <c r="G126" s="19"/>
      <c r="H126" s="25" t="str">
        <f t="shared" si="0"/>
        <v/>
      </c>
      <c r="I126" s="28"/>
      <c r="J126" s="28"/>
      <c r="K126" s="28"/>
      <c r="L126" s="25" t="str">
        <f t="shared" si="1"/>
        <v/>
      </c>
    </row>
    <row r="127" spans="1:12" x14ac:dyDescent="0.25">
      <c r="A127" s="15" t="s">
        <v>172</v>
      </c>
      <c r="B127" s="19"/>
      <c r="C127" s="19"/>
      <c r="D127" s="19"/>
      <c r="E127" s="24"/>
      <c r="F127" s="19"/>
      <c r="G127" s="19"/>
      <c r="H127" s="25" t="str">
        <f t="shared" si="0"/>
        <v/>
      </c>
      <c r="I127" s="28"/>
      <c r="J127" s="28"/>
      <c r="K127" s="28"/>
      <c r="L127" s="25" t="str">
        <f t="shared" si="1"/>
        <v/>
      </c>
    </row>
    <row r="128" spans="1:12" x14ac:dyDescent="0.25">
      <c r="A128" s="15" t="s">
        <v>173</v>
      </c>
      <c r="B128" s="19"/>
      <c r="C128" s="19"/>
      <c r="D128" s="19"/>
      <c r="E128" s="24"/>
      <c r="F128" s="19"/>
      <c r="G128" s="19"/>
      <c r="H128" s="25" t="str">
        <f t="shared" si="0"/>
        <v/>
      </c>
      <c r="I128" s="28"/>
      <c r="J128" s="28"/>
      <c r="K128" s="28"/>
      <c r="L128" s="25" t="str">
        <f t="shared" si="1"/>
        <v/>
      </c>
    </row>
    <row r="129" spans="1:12" x14ac:dyDescent="0.25">
      <c r="A129" s="15" t="s">
        <v>174</v>
      </c>
      <c r="B129" s="19"/>
      <c r="C129" s="19"/>
      <c r="D129" s="19"/>
      <c r="E129" s="24"/>
      <c r="F129" s="19"/>
      <c r="G129" s="19"/>
      <c r="H129" s="25" t="str">
        <f t="shared" si="0"/>
        <v/>
      </c>
      <c r="I129" s="28"/>
      <c r="J129" s="28"/>
      <c r="K129" s="28"/>
      <c r="L129" s="25" t="str">
        <f t="shared" si="1"/>
        <v/>
      </c>
    </row>
    <row r="130" spans="1:12" x14ac:dyDescent="0.25">
      <c r="A130" s="15" t="s">
        <v>175</v>
      </c>
      <c r="B130" s="19"/>
      <c r="C130" s="19"/>
      <c r="D130" s="19"/>
      <c r="E130" s="24">
        <v>655.37</v>
      </c>
      <c r="F130" s="19">
        <f t="shared" si="3"/>
        <v>9.7858766803485047</v>
      </c>
      <c r="G130" s="19">
        <f>P12</f>
        <v>11.764705882352942</v>
      </c>
      <c r="H130" s="25">
        <f t="shared" si="0"/>
        <v>-1.9788292020044373</v>
      </c>
      <c r="I130" s="28">
        <v>18077.900000000001</v>
      </c>
      <c r="J130" s="19">
        <f>IF(I130&gt;0,$I$3/I130,"")</f>
        <v>7.2928785754982597</v>
      </c>
      <c r="K130" s="19">
        <f>AA12</f>
        <v>13.862815884476534</v>
      </c>
      <c r="L130" s="25">
        <f t="shared" si="1"/>
        <v>-6.5699373089782744</v>
      </c>
    </row>
    <row r="131" spans="1:12" x14ac:dyDescent="0.25">
      <c r="A131" s="15" t="s">
        <v>176</v>
      </c>
      <c r="B131" s="19"/>
      <c r="C131" s="19"/>
      <c r="D131" s="19"/>
      <c r="E131" s="24"/>
      <c r="F131" s="19"/>
      <c r="G131" s="19"/>
      <c r="H131" s="25" t="str">
        <f t="shared" si="0"/>
        <v/>
      </c>
      <c r="I131" s="28"/>
      <c r="J131" s="28"/>
      <c r="K131" s="28"/>
      <c r="L131" s="25" t="str">
        <f t="shared" si="1"/>
        <v/>
      </c>
    </row>
    <row r="132" spans="1:12" x14ac:dyDescent="0.25">
      <c r="A132" s="15" t="s">
        <v>177</v>
      </c>
      <c r="B132" s="19"/>
      <c r="C132" s="19"/>
      <c r="D132" s="19"/>
      <c r="E132" s="24"/>
      <c r="F132" s="19"/>
      <c r="G132" s="19"/>
      <c r="H132" s="25" t="str">
        <f t="shared" si="0"/>
        <v/>
      </c>
      <c r="I132" s="28"/>
      <c r="J132" s="28"/>
      <c r="K132" s="28"/>
      <c r="L132" s="25" t="str">
        <f t="shared" si="1"/>
        <v/>
      </c>
    </row>
    <row r="133" spans="1:12" x14ac:dyDescent="0.25">
      <c r="A133" s="15" t="s">
        <v>178</v>
      </c>
      <c r="B133" s="19"/>
      <c r="C133" s="19"/>
      <c r="D133" s="19"/>
      <c r="E133" s="24"/>
      <c r="F133" s="19"/>
      <c r="G133" s="19"/>
      <c r="H133" s="25" t="str">
        <f t="shared" si="0"/>
        <v/>
      </c>
      <c r="I133" s="28"/>
      <c r="J133" s="28"/>
      <c r="K133" s="28"/>
      <c r="L133" s="25" t="str">
        <f t="shared" si="1"/>
        <v/>
      </c>
    </row>
    <row r="134" spans="1:12" x14ac:dyDescent="0.25">
      <c r="A134" s="15" t="s">
        <v>179</v>
      </c>
      <c r="B134" s="19"/>
      <c r="C134" s="19"/>
      <c r="D134" s="19"/>
      <c r="E134" s="24"/>
      <c r="F134" s="19"/>
      <c r="G134" s="19"/>
      <c r="H134" s="25" t="str">
        <f t="shared" si="0"/>
        <v/>
      </c>
      <c r="I134" s="28"/>
      <c r="J134" s="28"/>
      <c r="K134" s="28"/>
      <c r="L134" s="25" t="str">
        <f t="shared" si="1"/>
        <v/>
      </c>
    </row>
    <row r="135" spans="1:12" x14ac:dyDescent="0.25">
      <c r="A135" s="15" t="s">
        <v>180</v>
      </c>
      <c r="B135" s="19"/>
      <c r="C135" s="19"/>
      <c r="D135" s="19"/>
      <c r="E135" s="24"/>
      <c r="F135" s="19"/>
      <c r="G135" s="19"/>
      <c r="H135" s="25" t="str">
        <f t="shared" si="0"/>
        <v/>
      </c>
      <c r="I135" s="28"/>
      <c r="J135" s="28"/>
      <c r="K135" s="28"/>
      <c r="L135" s="25" t="str">
        <f t="shared" si="1"/>
        <v/>
      </c>
    </row>
    <row r="136" spans="1:12" x14ac:dyDescent="0.25">
      <c r="A136" s="15" t="s">
        <v>181</v>
      </c>
      <c r="B136" s="19"/>
      <c r="C136" s="19"/>
      <c r="D136" s="19"/>
      <c r="E136" s="24"/>
      <c r="F136" s="19"/>
      <c r="G136" s="19"/>
      <c r="H136" s="25" t="str">
        <f t="shared" si="0"/>
        <v/>
      </c>
      <c r="I136" s="28"/>
      <c r="J136" s="28"/>
      <c r="K136" s="28"/>
      <c r="L136" s="25" t="str">
        <f t="shared" si="1"/>
        <v/>
      </c>
    </row>
    <row r="137" spans="1:12" x14ac:dyDescent="0.25">
      <c r="A137" s="15" t="s">
        <v>182</v>
      </c>
      <c r="B137" s="19"/>
      <c r="C137" s="19"/>
      <c r="D137" s="19"/>
      <c r="E137" s="24"/>
      <c r="F137" s="19"/>
      <c r="G137" s="19"/>
      <c r="H137" s="25" t="str">
        <f t="shared" si="0"/>
        <v/>
      </c>
      <c r="I137" s="28"/>
      <c r="J137" s="28"/>
      <c r="K137" s="28"/>
      <c r="L137" s="25" t="str">
        <f t="shared" si="1"/>
        <v/>
      </c>
    </row>
    <row r="138" spans="1:12" x14ac:dyDescent="0.25">
      <c r="A138" s="15" t="s">
        <v>183</v>
      </c>
      <c r="B138" s="19"/>
      <c r="C138" s="19"/>
      <c r="D138" s="19"/>
      <c r="E138" s="24"/>
      <c r="F138" s="19"/>
      <c r="G138" s="19"/>
      <c r="H138" s="25" t="str">
        <f t="shared" si="0"/>
        <v/>
      </c>
      <c r="I138" s="28"/>
      <c r="J138" s="28"/>
      <c r="K138" s="28"/>
      <c r="L138" s="25" t="str">
        <f t="shared" si="1"/>
        <v/>
      </c>
    </row>
    <row r="139" spans="1:12" x14ac:dyDescent="0.25">
      <c r="A139" s="15" t="s">
        <v>184</v>
      </c>
      <c r="B139" s="19"/>
      <c r="C139" s="19"/>
      <c r="D139" s="19"/>
      <c r="E139" s="24"/>
      <c r="F139" s="19"/>
      <c r="G139" s="19"/>
      <c r="H139" s="25" t="str">
        <f t="shared" si="0"/>
        <v/>
      </c>
      <c r="I139" s="28"/>
      <c r="J139" s="28"/>
      <c r="K139" s="28"/>
      <c r="L139" s="25" t="str">
        <f t="shared" si="1"/>
        <v/>
      </c>
    </row>
    <row r="140" spans="1:12" x14ac:dyDescent="0.25">
      <c r="A140" s="15" t="s">
        <v>185</v>
      </c>
      <c r="B140" s="19"/>
      <c r="C140" s="19"/>
      <c r="D140" s="19"/>
      <c r="E140" s="24"/>
      <c r="F140" s="19"/>
      <c r="G140" s="19"/>
      <c r="H140" s="25" t="str">
        <f t="shared" si="0"/>
        <v/>
      </c>
      <c r="I140" s="28"/>
      <c r="J140" s="28"/>
      <c r="K140" s="28"/>
      <c r="L140" s="25" t="str">
        <f t="shared" si="1"/>
        <v/>
      </c>
    </row>
    <row r="141" spans="1:12" x14ac:dyDescent="0.25">
      <c r="A141" s="15" t="s">
        <v>186</v>
      </c>
      <c r="B141" s="19"/>
      <c r="C141" s="19"/>
      <c r="D141" s="19"/>
      <c r="E141" s="24"/>
      <c r="F141" s="19"/>
      <c r="G141" s="19"/>
      <c r="H141" s="25" t="str">
        <f t="shared" si="0"/>
        <v/>
      </c>
      <c r="I141" s="28"/>
      <c r="J141" s="28"/>
      <c r="K141" s="28"/>
      <c r="L141" s="25" t="str">
        <f t="shared" si="1"/>
        <v/>
      </c>
    </row>
    <row r="142" spans="1:12" x14ac:dyDescent="0.25">
      <c r="A142" s="15" t="s">
        <v>187</v>
      </c>
      <c r="B142" s="19"/>
      <c r="C142" s="19"/>
      <c r="D142" s="19"/>
      <c r="E142" s="24"/>
      <c r="F142" s="19"/>
      <c r="G142" s="19"/>
      <c r="H142" s="25" t="str">
        <f t="shared" si="0"/>
        <v/>
      </c>
      <c r="I142" s="28"/>
      <c r="J142" s="28"/>
      <c r="K142" s="28"/>
      <c r="L142" s="25" t="str">
        <f t="shared" si="1"/>
        <v/>
      </c>
    </row>
    <row r="143" spans="1:12" x14ac:dyDescent="0.25">
      <c r="A143" s="15" t="s">
        <v>188</v>
      </c>
      <c r="B143" s="19"/>
      <c r="C143" s="19"/>
      <c r="D143" s="19"/>
      <c r="E143" s="24"/>
      <c r="F143" s="19"/>
      <c r="G143" s="19"/>
      <c r="H143" s="25" t="str">
        <f t="shared" si="0"/>
        <v/>
      </c>
      <c r="I143" s="28"/>
      <c r="J143" s="28"/>
      <c r="K143" s="28"/>
      <c r="L143" s="25" t="str">
        <f t="shared" si="1"/>
        <v/>
      </c>
    </row>
    <row r="144" spans="1:12" x14ac:dyDescent="0.25">
      <c r="A144" s="15" t="s">
        <v>189</v>
      </c>
      <c r="B144" s="19"/>
      <c r="C144" s="19"/>
      <c r="D144" s="19"/>
      <c r="E144" s="24"/>
      <c r="F144" s="19"/>
      <c r="G144" s="19"/>
      <c r="H144" s="25" t="str">
        <f t="shared" si="0"/>
        <v/>
      </c>
      <c r="I144" s="28"/>
      <c r="J144" s="28"/>
      <c r="K144" s="28"/>
      <c r="L144" s="25" t="str">
        <f t="shared" si="1"/>
        <v/>
      </c>
    </row>
    <row r="145" spans="1:12" x14ac:dyDescent="0.25">
      <c r="A145" s="15" t="s">
        <v>190</v>
      </c>
      <c r="B145" s="19"/>
      <c r="C145" s="19"/>
      <c r="D145" s="19"/>
      <c r="E145" s="24"/>
      <c r="F145" s="19"/>
      <c r="G145" s="19"/>
      <c r="H145" s="25" t="str">
        <f t="shared" si="0"/>
        <v/>
      </c>
      <c r="I145" s="28"/>
      <c r="J145" s="28"/>
      <c r="K145" s="28"/>
      <c r="L145" s="25" t="str">
        <f t="shared" si="1"/>
        <v/>
      </c>
    </row>
    <row r="146" spans="1:12" x14ac:dyDescent="0.25">
      <c r="A146" s="15" t="s">
        <v>191</v>
      </c>
      <c r="B146" s="19"/>
      <c r="C146" s="19"/>
      <c r="D146" s="19"/>
      <c r="E146" s="24"/>
      <c r="F146" s="19"/>
      <c r="G146" s="19"/>
      <c r="H146" s="25" t="str">
        <f t="shared" si="0"/>
        <v/>
      </c>
      <c r="I146" s="28"/>
      <c r="J146" s="28"/>
      <c r="K146" s="28"/>
      <c r="L146" s="25" t="str">
        <f t="shared" si="1"/>
        <v/>
      </c>
    </row>
    <row r="147" spans="1:12" x14ac:dyDescent="0.25">
      <c r="A147" s="15" t="s">
        <v>192</v>
      </c>
      <c r="B147" s="19"/>
      <c r="C147" s="19"/>
      <c r="D147" s="19"/>
      <c r="E147" s="24"/>
      <c r="F147" s="19"/>
      <c r="G147" s="19"/>
      <c r="H147" s="25" t="str">
        <f t="shared" si="0"/>
        <v/>
      </c>
      <c r="I147" s="28"/>
      <c r="J147" s="28"/>
      <c r="K147" s="28"/>
      <c r="L147" s="25" t="str">
        <f t="shared" si="1"/>
        <v/>
      </c>
    </row>
    <row r="148" spans="1:12" x14ac:dyDescent="0.25">
      <c r="A148" s="15" t="s">
        <v>193</v>
      </c>
      <c r="B148" s="19"/>
      <c r="C148" s="19"/>
      <c r="D148" s="19"/>
      <c r="E148" s="24"/>
      <c r="F148" s="19"/>
      <c r="G148" s="19"/>
      <c r="H148" s="25" t="str">
        <f t="shared" si="0"/>
        <v/>
      </c>
      <c r="I148" s="28"/>
      <c r="J148" s="28"/>
      <c r="K148" s="28"/>
      <c r="L148" s="25" t="str">
        <f t="shared" si="1"/>
        <v/>
      </c>
    </row>
    <row r="149" spans="1:12" x14ac:dyDescent="0.25">
      <c r="A149" s="15" t="s">
        <v>194</v>
      </c>
      <c r="B149" s="19"/>
      <c r="C149" s="19"/>
      <c r="D149" s="19"/>
      <c r="E149" s="24"/>
      <c r="F149" s="19"/>
      <c r="G149" s="19"/>
      <c r="H149" s="25" t="str">
        <f t="shared" si="0"/>
        <v/>
      </c>
      <c r="I149" s="28"/>
      <c r="J149" s="28"/>
      <c r="K149" s="28"/>
      <c r="L149" s="25" t="str">
        <f t="shared" si="1"/>
        <v/>
      </c>
    </row>
    <row r="150" spans="1:12" x14ac:dyDescent="0.25">
      <c r="A150" s="15" t="s">
        <v>195</v>
      </c>
      <c r="B150" s="19"/>
      <c r="C150" s="19"/>
      <c r="D150" s="19"/>
      <c r="E150" s="24"/>
      <c r="F150" s="19"/>
      <c r="G150" s="19"/>
      <c r="H150" s="25" t="str">
        <f t="shared" si="0"/>
        <v/>
      </c>
      <c r="I150" s="28"/>
      <c r="J150" s="28"/>
      <c r="K150" s="28"/>
      <c r="L150" s="25" t="str">
        <f t="shared" si="1"/>
        <v/>
      </c>
    </row>
    <row r="151" spans="1:12" x14ac:dyDescent="0.25">
      <c r="A151" s="15" t="s">
        <v>196</v>
      </c>
      <c r="B151" s="19"/>
      <c r="C151" s="19"/>
      <c r="D151" s="19"/>
      <c r="E151" s="24"/>
      <c r="F151" s="19"/>
      <c r="G151" s="19"/>
      <c r="H151" s="25" t="str">
        <f t="shared" si="0"/>
        <v/>
      </c>
      <c r="I151" s="28"/>
      <c r="J151" s="28"/>
      <c r="K151" s="28"/>
      <c r="L151" s="25" t="str">
        <f t="shared" si="1"/>
        <v/>
      </c>
    </row>
    <row r="152" spans="1:12" x14ac:dyDescent="0.25">
      <c r="A152" s="15" t="s">
        <v>197</v>
      </c>
      <c r="B152" s="19"/>
      <c r="C152" s="19"/>
      <c r="D152" s="19"/>
      <c r="E152" s="24"/>
      <c r="F152" s="19"/>
      <c r="G152" s="19"/>
      <c r="H152" s="25" t="str">
        <f t="shared" si="0"/>
        <v/>
      </c>
      <c r="I152" s="28"/>
      <c r="J152" s="28"/>
      <c r="K152" s="28"/>
      <c r="L152" s="25" t="str">
        <f t="shared" si="1"/>
        <v/>
      </c>
    </row>
    <row r="153" spans="1:12" x14ac:dyDescent="0.25">
      <c r="A153" s="15" t="s">
        <v>198</v>
      </c>
      <c r="B153" s="19"/>
      <c r="C153" s="19"/>
      <c r="D153" s="19"/>
      <c r="E153" s="24"/>
      <c r="F153" s="19"/>
      <c r="G153" s="19"/>
      <c r="H153" s="25" t="str">
        <f t="shared" si="0"/>
        <v/>
      </c>
      <c r="I153" s="28"/>
      <c r="J153" s="28"/>
      <c r="K153" s="28"/>
      <c r="L153" s="25" t="str">
        <f t="shared" si="1"/>
        <v/>
      </c>
    </row>
    <row r="154" spans="1:12" x14ac:dyDescent="0.25">
      <c r="A154" s="15" t="s">
        <v>199</v>
      </c>
      <c r="B154" s="19"/>
      <c r="C154" s="19"/>
      <c r="D154" s="19"/>
      <c r="E154" s="24"/>
      <c r="F154" s="19"/>
      <c r="G154" s="19"/>
      <c r="H154" s="25" t="str">
        <f t="shared" si="0"/>
        <v/>
      </c>
      <c r="I154" s="28"/>
      <c r="J154" s="28"/>
      <c r="K154" s="28"/>
      <c r="L154" s="25" t="str">
        <f t="shared" si="1"/>
        <v/>
      </c>
    </row>
    <row r="155" spans="1:12" x14ac:dyDescent="0.25">
      <c r="A155" s="15" t="s">
        <v>200</v>
      </c>
      <c r="B155" s="19"/>
      <c r="C155" s="19"/>
      <c r="D155" s="19"/>
      <c r="E155" s="24"/>
      <c r="F155" s="19"/>
      <c r="G155" s="19"/>
      <c r="H155" s="25" t="str">
        <f t="shared" si="0"/>
        <v/>
      </c>
      <c r="I155" s="28"/>
      <c r="J155" s="28"/>
      <c r="K155" s="28"/>
      <c r="L155" s="25" t="str">
        <f t="shared" si="1"/>
        <v/>
      </c>
    </row>
    <row r="156" spans="1:12" x14ac:dyDescent="0.25">
      <c r="A156" s="15" t="s">
        <v>201</v>
      </c>
      <c r="B156" s="19"/>
      <c r="C156" s="19"/>
      <c r="D156" s="19"/>
      <c r="E156" s="24"/>
      <c r="F156" s="19"/>
      <c r="G156" s="19"/>
      <c r="H156" s="25" t="str">
        <f t="shared" si="0"/>
        <v/>
      </c>
      <c r="I156" s="28"/>
      <c r="J156" s="28"/>
      <c r="K156" s="28"/>
      <c r="L156" s="25" t="str">
        <f t="shared" si="1"/>
        <v/>
      </c>
    </row>
    <row r="157" spans="1:12" x14ac:dyDescent="0.25">
      <c r="A157" s="15" t="s">
        <v>202</v>
      </c>
      <c r="B157" s="19"/>
      <c r="C157" s="19"/>
      <c r="D157" s="19"/>
      <c r="E157" s="24"/>
      <c r="F157" s="19"/>
      <c r="G157" s="19"/>
      <c r="H157" s="25" t="str">
        <f t="shared" si="0"/>
        <v/>
      </c>
      <c r="I157" s="28"/>
      <c r="J157" s="28"/>
      <c r="K157" s="28"/>
      <c r="L157" s="25" t="str">
        <f t="shared" si="1"/>
        <v/>
      </c>
    </row>
    <row r="158" spans="1:12" x14ac:dyDescent="0.25">
      <c r="A158" s="15" t="s">
        <v>203</v>
      </c>
      <c r="B158" s="19"/>
      <c r="C158" s="19"/>
      <c r="D158" s="19"/>
      <c r="E158" s="24"/>
      <c r="F158" s="19"/>
      <c r="G158" s="19"/>
      <c r="H158" s="25" t="str">
        <f t="shared" si="0"/>
        <v/>
      </c>
      <c r="I158" s="28"/>
      <c r="J158" s="28"/>
      <c r="K158" s="28"/>
      <c r="L158" s="25" t="str">
        <f t="shared" si="1"/>
        <v/>
      </c>
    </row>
    <row r="159" spans="1:12" x14ac:dyDescent="0.25">
      <c r="A159" s="15" t="s">
        <v>204</v>
      </c>
      <c r="B159" s="19"/>
      <c r="C159" s="19"/>
      <c r="D159" s="19"/>
      <c r="E159" s="24"/>
      <c r="F159" s="19"/>
      <c r="G159" s="19"/>
      <c r="H159" s="25" t="str">
        <f t="shared" si="0"/>
        <v/>
      </c>
      <c r="I159" s="28"/>
      <c r="J159" s="28"/>
      <c r="K159" s="28"/>
      <c r="L159" s="25" t="str">
        <f t="shared" si="1"/>
        <v/>
      </c>
    </row>
    <row r="160" spans="1:12" x14ac:dyDescent="0.25">
      <c r="A160" s="15" t="s">
        <v>205</v>
      </c>
      <c r="B160" s="19"/>
      <c r="C160" s="19"/>
      <c r="D160" s="19"/>
      <c r="E160" s="24"/>
      <c r="F160" s="19"/>
      <c r="G160" s="19"/>
      <c r="H160" s="25" t="str">
        <f t="shared" si="0"/>
        <v/>
      </c>
      <c r="I160" s="28"/>
      <c r="J160" s="28"/>
      <c r="K160" s="28"/>
      <c r="L160" s="25" t="str">
        <f t="shared" si="1"/>
        <v/>
      </c>
    </row>
    <row r="161" spans="1:12" x14ac:dyDescent="0.25">
      <c r="A161" s="15" t="s">
        <v>206</v>
      </c>
      <c r="B161" s="19"/>
      <c r="C161" s="19"/>
      <c r="D161" s="19"/>
      <c r="E161" s="24"/>
      <c r="F161" s="19"/>
      <c r="G161" s="19"/>
      <c r="H161" s="25" t="str">
        <f t="shared" si="0"/>
        <v/>
      </c>
      <c r="I161" s="28"/>
      <c r="J161" s="28"/>
      <c r="K161" s="28"/>
      <c r="L161" s="25" t="str">
        <f t="shared" si="1"/>
        <v/>
      </c>
    </row>
    <row r="162" spans="1:12" x14ac:dyDescent="0.25">
      <c r="A162" s="15" t="s">
        <v>207</v>
      </c>
      <c r="B162" s="19"/>
      <c r="C162" s="19"/>
      <c r="D162" s="19"/>
      <c r="E162" s="24"/>
      <c r="F162" s="19"/>
      <c r="G162" s="19"/>
      <c r="H162" s="25" t="str">
        <f t="shared" si="0"/>
        <v/>
      </c>
      <c r="I162" s="28"/>
      <c r="J162" s="28"/>
      <c r="K162" s="28"/>
      <c r="L162" s="25" t="str">
        <f t="shared" si="1"/>
        <v/>
      </c>
    </row>
    <row r="163" spans="1:12" x14ac:dyDescent="0.25">
      <c r="A163" s="15" t="s">
        <v>208</v>
      </c>
      <c r="B163" s="19"/>
      <c r="C163" s="19"/>
      <c r="D163" s="19"/>
      <c r="E163" s="24"/>
      <c r="F163" s="19"/>
      <c r="G163" s="19"/>
      <c r="H163" s="25" t="str">
        <f t="shared" si="0"/>
        <v/>
      </c>
      <c r="I163" s="28"/>
      <c r="J163" s="28"/>
      <c r="K163" s="28"/>
      <c r="L163" s="25" t="str">
        <f t="shared" si="1"/>
        <v/>
      </c>
    </row>
    <row r="164" spans="1:12" x14ac:dyDescent="0.25">
      <c r="A164" s="15" t="s">
        <v>209</v>
      </c>
      <c r="B164" s="19"/>
      <c r="C164" s="19"/>
      <c r="D164" s="19"/>
      <c r="E164" s="24"/>
      <c r="F164" s="19"/>
      <c r="G164" s="19"/>
      <c r="H164" s="25" t="str">
        <f t="shared" si="0"/>
        <v/>
      </c>
      <c r="I164" s="28"/>
      <c r="J164" s="28"/>
      <c r="K164" s="28"/>
      <c r="L164" s="25" t="str">
        <f t="shared" si="1"/>
        <v/>
      </c>
    </row>
    <row r="165" spans="1:12" x14ac:dyDescent="0.25">
      <c r="A165" s="15" t="s">
        <v>210</v>
      </c>
      <c r="B165" s="19"/>
      <c r="C165" s="19"/>
      <c r="D165" s="19"/>
      <c r="E165" s="24"/>
      <c r="F165" s="19"/>
      <c r="G165" s="19"/>
      <c r="H165" s="25" t="str">
        <f t="shared" si="0"/>
        <v/>
      </c>
      <c r="I165" s="28"/>
      <c r="J165" s="28"/>
      <c r="K165" s="28"/>
      <c r="L165" s="25" t="str">
        <f t="shared" si="1"/>
        <v/>
      </c>
    </row>
    <row r="166" spans="1:12" x14ac:dyDescent="0.25">
      <c r="A166" s="15" t="s">
        <v>211</v>
      </c>
      <c r="B166" s="19"/>
      <c r="C166" s="19"/>
      <c r="D166" s="19"/>
      <c r="E166" s="24"/>
      <c r="F166" s="19"/>
      <c r="G166" s="19"/>
      <c r="H166" s="25" t="str">
        <f t="shared" si="0"/>
        <v/>
      </c>
      <c r="I166" s="28"/>
      <c r="J166" s="28"/>
      <c r="K166" s="28"/>
      <c r="L166" s="25" t="str">
        <f t="shared" si="1"/>
        <v/>
      </c>
    </row>
    <row r="167" spans="1:12" x14ac:dyDescent="0.25">
      <c r="A167" s="15" t="s">
        <v>212</v>
      </c>
      <c r="B167" s="19"/>
      <c r="C167" s="19"/>
      <c r="D167" s="19"/>
      <c r="E167" s="24"/>
      <c r="F167" s="19"/>
      <c r="G167" s="19"/>
      <c r="H167" s="25" t="str">
        <f t="shared" si="0"/>
        <v/>
      </c>
      <c r="I167" s="28"/>
      <c r="J167" s="28"/>
      <c r="K167" s="28"/>
      <c r="L167" s="25" t="str">
        <f t="shared" si="1"/>
        <v/>
      </c>
    </row>
    <row r="168" spans="1:12" x14ac:dyDescent="0.25">
      <c r="A168" s="15" t="s">
        <v>213</v>
      </c>
      <c r="B168" s="19"/>
      <c r="C168" s="19"/>
      <c r="D168" s="19"/>
      <c r="E168" s="24"/>
      <c r="F168" s="19"/>
      <c r="G168" s="19"/>
      <c r="H168" s="25" t="str">
        <f t="shared" si="0"/>
        <v/>
      </c>
      <c r="I168" s="28"/>
      <c r="J168" s="28"/>
      <c r="K168" s="28"/>
      <c r="L168" s="25" t="str">
        <f t="shared" si="1"/>
        <v/>
      </c>
    </row>
    <row r="169" spans="1:12" x14ac:dyDescent="0.25">
      <c r="A169" s="15" t="s">
        <v>214</v>
      </c>
      <c r="B169" s="19"/>
      <c r="C169" s="19"/>
      <c r="D169" s="19"/>
      <c r="E169" s="24"/>
      <c r="F169" s="19"/>
      <c r="G169" s="19"/>
      <c r="H169" s="25" t="str">
        <f t="shared" si="0"/>
        <v/>
      </c>
      <c r="I169" s="28"/>
      <c r="J169" s="28"/>
      <c r="K169" s="28"/>
      <c r="L169" s="25" t="str">
        <f t="shared" si="1"/>
        <v/>
      </c>
    </row>
    <row r="170" spans="1:12" x14ac:dyDescent="0.25">
      <c r="A170" s="15" t="s">
        <v>215</v>
      </c>
      <c r="B170" s="19"/>
      <c r="C170" s="19"/>
      <c r="D170" s="19"/>
      <c r="E170" s="24"/>
      <c r="F170" s="19"/>
      <c r="G170" s="19"/>
      <c r="H170" s="25" t="str">
        <f t="shared" si="0"/>
        <v/>
      </c>
      <c r="I170" s="28"/>
      <c r="J170" s="28"/>
      <c r="K170" s="28"/>
      <c r="L170" s="25" t="str">
        <f t="shared" si="1"/>
        <v/>
      </c>
    </row>
    <row r="171" spans="1:12" x14ac:dyDescent="0.25">
      <c r="A171" s="15" t="s">
        <v>216</v>
      </c>
      <c r="B171" s="19"/>
      <c r="C171" s="19"/>
      <c r="D171" s="19"/>
      <c r="E171" s="24"/>
      <c r="F171" s="19"/>
      <c r="G171" s="19"/>
      <c r="H171" s="25" t="str">
        <f t="shared" si="0"/>
        <v/>
      </c>
      <c r="I171" s="28"/>
      <c r="J171" s="28"/>
      <c r="K171" s="28"/>
      <c r="L171" s="25" t="str">
        <f t="shared" si="1"/>
        <v/>
      </c>
    </row>
    <row r="172" spans="1:12" x14ac:dyDescent="0.25">
      <c r="A172" s="15" t="s">
        <v>217</v>
      </c>
      <c r="B172" s="19"/>
      <c r="C172" s="19"/>
      <c r="D172" s="19"/>
      <c r="E172" s="24"/>
      <c r="F172" s="19"/>
      <c r="G172" s="19"/>
      <c r="H172" s="25" t="str">
        <f t="shared" si="0"/>
        <v/>
      </c>
      <c r="I172" s="28"/>
      <c r="J172" s="28"/>
      <c r="K172" s="28"/>
      <c r="L172" s="25" t="str">
        <f t="shared" si="1"/>
        <v/>
      </c>
    </row>
    <row r="173" spans="1:12" x14ac:dyDescent="0.25">
      <c r="A173" s="15" t="s">
        <v>218</v>
      </c>
      <c r="B173" s="19"/>
      <c r="C173" s="19"/>
      <c r="D173" s="19"/>
      <c r="E173" s="24"/>
      <c r="F173" s="19"/>
      <c r="G173" s="19"/>
      <c r="H173" s="25" t="str">
        <f t="shared" si="0"/>
        <v/>
      </c>
      <c r="I173" s="28"/>
      <c r="J173" s="28"/>
      <c r="K173" s="28"/>
      <c r="L173" s="25" t="str">
        <f t="shared" si="1"/>
        <v/>
      </c>
    </row>
    <row r="174" spans="1:12" x14ac:dyDescent="0.25">
      <c r="A174" s="15" t="s">
        <v>219</v>
      </c>
      <c r="B174" s="19"/>
      <c r="C174" s="19"/>
      <c r="D174" s="19"/>
      <c r="E174" s="24"/>
      <c r="F174" s="19"/>
      <c r="G174" s="19"/>
      <c r="H174" s="25" t="str">
        <f t="shared" si="0"/>
        <v/>
      </c>
      <c r="I174" s="28"/>
      <c r="J174" s="28"/>
      <c r="K174" s="28"/>
      <c r="L174" s="25" t="str">
        <f t="shared" si="1"/>
        <v/>
      </c>
    </row>
    <row r="175" spans="1:12" x14ac:dyDescent="0.25">
      <c r="A175" s="15" t="s">
        <v>220</v>
      </c>
      <c r="B175" s="19"/>
      <c r="C175" s="19"/>
      <c r="D175" s="19"/>
      <c r="E175" s="24"/>
      <c r="F175" s="19"/>
      <c r="G175" s="19"/>
      <c r="H175" s="25" t="str">
        <f t="shared" si="0"/>
        <v/>
      </c>
      <c r="I175" s="28"/>
      <c r="J175" s="28"/>
      <c r="K175" s="28"/>
      <c r="L175" s="25" t="str">
        <f t="shared" si="1"/>
        <v/>
      </c>
    </row>
    <row r="176" spans="1:12" x14ac:dyDescent="0.25">
      <c r="A176" s="15" t="s">
        <v>221</v>
      </c>
      <c r="B176" s="19"/>
      <c r="C176" s="19"/>
      <c r="D176" s="19"/>
      <c r="E176" s="24"/>
      <c r="F176" s="19"/>
      <c r="G176" s="19"/>
      <c r="H176" s="25" t="str">
        <f t="shared" si="0"/>
        <v/>
      </c>
      <c r="I176" s="28"/>
      <c r="J176" s="28"/>
      <c r="K176" s="28"/>
      <c r="L176" s="25" t="str">
        <f t="shared" si="1"/>
        <v/>
      </c>
    </row>
    <row r="177" spans="1:12" x14ac:dyDescent="0.25">
      <c r="A177" s="15" t="s">
        <v>222</v>
      </c>
      <c r="B177" s="19"/>
      <c r="C177" s="19"/>
      <c r="D177" s="19"/>
      <c r="E177" s="24"/>
      <c r="F177" s="19"/>
      <c r="G177" s="19"/>
      <c r="H177" s="25" t="str">
        <f t="shared" si="0"/>
        <v/>
      </c>
      <c r="I177" s="28"/>
      <c r="J177" s="28"/>
      <c r="K177" s="28"/>
      <c r="L177" s="25" t="str">
        <f t="shared" si="1"/>
        <v/>
      </c>
    </row>
    <row r="178" spans="1:12" x14ac:dyDescent="0.25">
      <c r="A178" s="15" t="s">
        <v>223</v>
      </c>
      <c r="B178" s="19"/>
      <c r="C178" s="19"/>
      <c r="D178" s="19"/>
      <c r="E178" s="24"/>
      <c r="F178" s="19"/>
      <c r="G178" s="19"/>
      <c r="H178" s="25" t="str">
        <f t="shared" si="0"/>
        <v/>
      </c>
      <c r="I178" s="28"/>
      <c r="J178" s="28"/>
      <c r="K178" s="28"/>
      <c r="L178" s="25" t="str">
        <f t="shared" si="1"/>
        <v/>
      </c>
    </row>
    <row r="179" spans="1:12" x14ac:dyDescent="0.25">
      <c r="A179" s="15" t="s">
        <v>224</v>
      </c>
      <c r="B179" s="19"/>
      <c r="C179" s="19"/>
      <c r="D179" s="19"/>
      <c r="E179" s="24"/>
      <c r="F179" s="19"/>
      <c r="G179" s="19"/>
      <c r="H179" s="25" t="str">
        <f t="shared" si="0"/>
        <v/>
      </c>
      <c r="I179" s="28"/>
      <c r="J179" s="28"/>
      <c r="K179" s="28"/>
      <c r="L179" s="25" t="str">
        <f t="shared" si="1"/>
        <v/>
      </c>
    </row>
    <row r="180" spans="1:12" x14ac:dyDescent="0.25">
      <c r="A180" s="15" t="s">
        <v>225</v>
      </c>
      <c r="B180" s="19"/>
      <c r="C180" s="19"/>
      <c r="D180" s="19"/>
      <c r="E180" s="24"/>
      <c r="F180" s="19"/>
      <c r="G180" s="19"/>
      <c r="H180" s="25" t="str">
        <f t="shared" si="0"/>
        <v/>
      </c>
      <c r="I180" s="28"/>
      <c r="J180" s="28"/>
      <c r="K180" s="28"/>
      <c r="L180" s="25" t="str">
        <f t="shared" si="1"/>
        <v/>
      </c>
    </row>
    <row r="181" spans="1:12" x14ac:dyDescent="0.25">
      <c r="A181" s="15" t="s">
        <v>226</v>
      </c>
      <c r="B181" s="19"/>
      <c r="C181" s="19"/>
      <c r="D181" s="19"/>
      <c r="E181" s="24"/>
      <c r="F181" s="19"/>
      <c r="G181" s="19"/>
      <c r="H181" s="25" t="str">
        <f t="shared" si="0"/>
        <v/>
      </c>
      <c r="I181" s="28"/>
      <c r="J181" s="28"/>
      <c r="K181" s="28"/>
      <c r="L181" s="25" t="str">
        <f t="shared" si="1"/>
        <v/>
      </c>
    </row>
    <row r="182" spans="1:12" x14ac:dyDescent="0.25">
      <c r="A182" s="15" t="s">
        <v>227</v>
      </c>
      <c r="B182" s="19"/>
      <c r="C182" s="19"/>
      <c r="D182" s="19"/>
      <c r="E182" s="24"/>
      <c r="F182" s="19"/>
      <c r="G182" s="19"/>
      <c r="H182" s="25" t="str">
        <f t="shared" si="0"/>
        <v/>
      </c>
      <c r="I182" s="28"/>
      <c r="J182" s="28"/>
      <c r="K182" s="28"/>
      <c r="L182" s="25" t="str">
        <f t="shared" si="1"/>
        <v/>
      </c>
    </row>
    <row r="183" spans="1:12" x14ac:dyDescent="0.25">
      <c r="A183" s="15" t="s">
        <v>228</v>
      </c>
      <c r="B183" s="19"/>
      <c r="C183" s="19"/>
      <c r="D183" s="19"/>
      <c r="E183" s="24"/>
      <c r="F183" s="19"/>
      <c r="G183" s="19"/>
      <c r="H183" s="25" t="str">
        <f t="shared" si="0"/>
        <v/>
      </c>
      <c r="I183" s="28"/>
      <c r="J183" s="28"/>
      <c r="K183" s="28"/>
      <c r="L183" s="25" t="str">
        <f t="shared" si="1"/>
        <v/>
      </c>
    </row>
    <row r="184" spans="1:12" x14ac:dyDescent="0.25">
      <c r="A184" s="15" t="s">
        <v>229</v>
      </c>
      <c r="B184" s="19"/>
      <c r="C184" s="19"/>
      <c r="D184" s="19"/>
      <c r="E184" s="24"/>
      <c r="F184" s="19"/>
      <c r="G184" s="19"/>
      <c r="H184" s="25" t="str">
        <f t="shared" si="0"/>
        <v/>
      </c>
      <c r="I184" s="28"/>
      <c r="J184" s="28"/>
      <c r="K184" s="28"/>
      <c r="L184" s="25" t="str">
        <f t="shared" si="1"/>
        <v/>
      </c>
    </row>
    <row r="185" spans="1:12" x14ac:dyDescent="0.25">
      <c r="A185" s="15" t="s">
        <v>230</v>
      </c>
      <c r="B185" s="19"/>
      <c r="C185" s="19"/>
      <c r="D185" s="19"/>
      <c r="E185" s="24"/>
      <c r="F185" s="19"/>
      <c r="G185" s="19"/>
      <c r="H185" s="25" t="str">
        <f t="shared" si="0"/>
        <v/>
      </c>
      <c r="I185" s="28"/>
      <c r="J185" s="28"/>
      <c r="K185" s="28"/>
      <c r="L185" s="25" t="str">
        <f t="shared" si="1"/>
        <v/>
      </c>
    </row>
    <row r="186" spans="1:12" x14ac:dyDescent="0.25">
      <c r="A186" s="15" t="s">
        <v>231</v>
      </c>
      <c r="B186" s="19"/>
      <c r="C186" s="19"/>
      <c r="D186" s="19"/>
      <c r="E186" s="24"/>
      <c r="F186" s="19"/>
      <c r="G186" s="19"/>
      <c r="H186" s="25" t="str">
        <f t="shared" si="0"/>
        <v/>
      </c>
      <c r="I186" s="28"/>
      <c r="J186" s="28"/>
      <c r="K186" s="28"/>
      <c r="L186" s="25" t="str">
        <f t="shared" si="1"/>
        <v/>
      </c>
    </row>
    <row r="187" spans="1:12" x14ac:dyDescent="0.25">
      <c r="A187" s="15" t="s">
        <v>232</v>
      </c>
      <c r="B187" s="19"/>
      <c r="C187" s="19"/>
      <c r="D187" s="19"/>
      <c r="E187" s="24"/>
      <c r="F187" s="19"/>
      <c r="G187" s="19"/>
      <c r="H187" s="25" t="str">
        <f t="shared" si="0"/>
        <v/>
      </c>
      <c r="I187" s="28"/>
      <c r="J187" s="28"/>
      <c r="K187" s="28"/>
      <c r="L187" s="25" t="str">
        <f t="shared" si="1"/>
        <v/>
      </c>
    </row>
    <row r="188" spans="1:12" x14ac:dyDescent="0.25">
      <c r="A188" s="15" t="s">
        <v>233</v>
      </c>
      <c r="B188" s="19"/>
      <c r="C188" s="19"/>
      <c r="D188" s="19"/>
      <c r="E188" s="24"/>
      <c r="F188" s="19"/>
      <c r="G188" s="19"/>
      <c r="H188" s="25" t="str">
        <f t="shared" si="0"/>
        <v/>
      </c>
      <c r="I188" s="28"/>
      <c r="J188" s="28"/>
      <c r="K188" s="28"/>
      <c r="L188" s="25" t="str">
        <f t="shared" si="1"/>
        <v/>
      </c>
    </row>
    <row r="189" spans="1:12" x14ac:dyDescent="0.25">
      <c r="A189" s="15" t="s">
        <v>234</v>
      </c>
      <c r="B189" s="19"/>
      <c r="C189" s="19"/>
      <c r="D189" s="19"/>
      <c r="E189" s="24"/>
      <c r="F189" s="19"/>
      <c r="G189" s="19"/>
      <c r="H189" s="25" t="str">
        <f t="shared" si="0"/>
        <v/>
      </c>
      <c r="I189" s="28"/>
      <c r="J189" s="28"/>
      <c r="K189" s="28"/>
      <c r="L189" s="25" t="str">
        <f t="shared" si="1"/>
        <v/>
      </c>
    </row>
    <row r="190" spans="1:12" x14ac:dyDescent="0.25">
      <c r="A190" s="15" t="s">
        <v>235</v>
      </c>
      <c r="B190" s="19"/>
      <c r="C190" s="19"/>
      <c r="D190" s="19"/>
      <c r="E190" s="24"/>
      <c r="F190" s="19"/>
      <c r="G190" s="19"/>
      <c r="H190" s="25" t="str">
        <f t="shared" si="0"/>
        <v/>
      </c>
      <c r="I190" s="28"/>
      <c r="J190" s="28"/>
      <c r="K190" s="28"/>
      <c r="L190" s="25" t="str">
        <f t="shared" si="1"/>
        <v/>
      </c>
    </row>
    <row r="191" spans="1:12" x14ac:dyDescent="0.25">
      <c r="A191" s="15" t="s">
        <v>236</v>
      </c>
      <c r="B191" s="19"/>
      <c r="C191" s="19"/>
      <c r="D191" s="19"/>
      <c r="E191" s="24"/>
      <c r="F191" s="19"/>
      <c r="G191" s="19"/>
      <c r="H191" s="25" t="str">
        <f t="shared" si="0"/>
        <v/>
      </c>
      <c r="I191" s="28"/>
      <c r="J191" s="28"/>
      <c r="K191" s="28"/>
      <c r="L191" s="25" t="str">
        <f t="shared" si="1"/>
        <v/>
      </c>
    </row>
    <row r="192" spans="1:12" x14ac:dyDescent="0.25">
      <c r="A192" s="15" t="s">
        <v>237</v>
      </c>
      <c r="B192" s="19"/>
      <c r="C192" s="19"/>
      <c r="D192" s="19"/>
      <c r="E192" s="24"/>
      <c r="F192" s="19"/>
      <c r="G192" s="19"/>
      <c r="H192" s="25" t="str">
        <f t="shared" si="0"/>
        <v/>
      </c>
      <c r="I192" s="28"/>
      <c r="J192" s="28"/>
      <c r="K192" s="28"/>
      <c r="L192" s="25" t="str">
        <f t="shared" si="1"/>
        <v/>
      </c>
    </row>
    <row r="193" spans="1:12" x14ac:dyDescent="0.25">
      <c r="A193" s="15" t="s">
        <v>238</v>
      </c>
      <c r="B193" s="19"/>
      <c r="C193" s="19"/>
      <c r="D193" s="19"/>
      <c r="E193" s="24"/>
      <c r="F193" s="19"/>
      <c r="G193" s="19"/>
      <c r="H193" s="25" t="str">
        <f t="shared" si="0"/>
        <v/>
      </c>
      <c r="I193" s="28"/>
      <c r="J193" s="28"/>
      <c r="K193" s="28"/>
      <c r="L193" s="25" t="str">
        <f t="shared" si="1"/>
        <v/>
      </c>
    </row>
    <row r="194" spans="1:12" x14ac:dyDescent="0.25">
      <c r="A194" s="15" t="s">
        <v>239</v>
      </c>
      <c r="B194" s="19"/>
      <c r="C194" s="19"/>
      <c r="D194" s="19"/>
      <c r="E194" s="24"/>
      <c r="F194" s="19"/>
      <c r="G194" s="19"/>
      <c r="H194" s="25" t="str">
        <f t="shared" si="0"/>
        <v/>
      </c>
      <c r="I194" s="28"/>
      <c r="J194" s="28"/>
      <c r="K194" s="28"/>
      <c r="L194" s="25" t="str">
        <f t="shared" si="1"/>
        <v/>
      </c>
    </row>
    <row r="195" spans="1:12" x14ac:dyDescent="0.25">
      <c r="A195" s="15" t="s">
        <v>240</v>
      </c>
      <c r="B195" s="19"/>
      <c r="C195" s="19"/>
      <c r="D195" s="19"/>
      <c r="E195" s="24"/>
      <c r="F195" s="19"/>
      <c r="G195" s="19"/>
      <c r="H195" s="25" t="str">
        <f t="shared" si="0"/>
        <v/>
      </c>
      <c r="I195" s="28"/>
      <c r="J195" s="28"/>
      <c r="K195" s="28"/>
      <c r="L195" s="25" t="str">
        <f t="shared" si="1"/>
        <v/>
      </c>
    </row>
    <row r="196" spans="1:12" x14ac:dyDescent="0.25">
      <c r="A196" s="15" t="s">
        <v>241</v>
      </c>
      <c r="B196" s="19"/>
      <c r="C196" s="19"/>
      <c r="D196" s="19"/>
      <c r="E196" s="24"/>
      <c r="F196" s="19"/>
      <c r="G196" s="19"/>
      <c r="H196" s="25" t="str">
        <f t="shared" si="0"/>
        <v/>
      </c>
      <c r="I196" s="28"/>
      <c r="J196" s="28"/>
      <c r="K196" s="28"/>
      <c r="L196" s="25" t="str">
        <f t="shared" si="1"/>
        <v/>
      </c>
    </row>
    <row r="197" spans="1:12" x14ac:dyDescent="0.25">
      <c r="A197" s="15" t="s">
        <v>242</v>
      </c>
      <c r="B197" s="19"/>
      <c r="C197" s="19"/>
      <c r="D197" s="19"/>
      <c r="E197" s="24"/>
      <c r="F197" s="19"/>
      <c r="G197" s="19"/>
      <c r="H197" s="25" t="str">
        <f t="shared" si="0"/>
        <v/>
      </c>
      <c r="I197" s="28"/>
      <c r="J197" s="28"/>
      <c r="K197" s="28"/>
      <c r="L197" s="25" t="str">
        <f t="shared" si="1"/>
        <v/>
      </c>
    </row>
    <row r="198" spans="1:12" x14ac:dyDescent="0.25">
      <c r="A198" s="15" t="s">
        <v>243</v>
      </c>
      <c r="B198" s="19"/>
      <c r="C198" s="19"/>
      <c r="D198" s="19"/>
      <c r="E198" s="24"/>
      <c r="F198" s="19"/>
      <c r="G198" s="19"/>
      <c r="H198" s="25" t="str">
        <f t="shared" si="0"/>
        <v/>
      </c>
      <c r="I198" s="28"/>
      <c r="J198" s="28"/>
      <c r="K198" s="28"/>
      <c r="L198" s="25" t="str">
        <f t="shared" si="1"/>
        <v/>
      </c>
    </row>
    <row r="199" spans="1:12" x14ac:dyDescent="0.25">
      <c r="A199" s="15" t="s">
        <v>244</v>
      </c>
      <c r="B199" s="19"/>
      <c r="C199" s="19"/>
      <c r="D199" s="19"/>
      <c r="E199" s="24"/>
      <c r="F199" s="19"/>
      <c r="G199" s="19"/>
      <c r="H199" s="25" t="str">
        <f t="shared" si="0"/>
        <v/>
      </c>
      <c r="I199" s="28"/>
      <c r="J199" s="28"/>
      <c r="K199" s="28"/>
      <c r="L199" s="25" t="str">
        <f t="shared" si="1"/>
        <v/>
      </c>
    </row>
    <row r="200" spans="1:12" x14ac:dyDescent="0.25">
      <c r="A200" s="15" t="s">
        <v>245</v>
      </c>
      <c r="B200" s="19"/>
      <c r="C200" s="19"/>
      <c r="D200" s="19"/>
      <c r="E200" s="24"/>
      <c r="F200" s="19"/>
      <c r="G200" s="19"/>
      <c r="H200" s="25" t="str">
        <f t="shared" si="0"/>
        <v/>
      </c>
      <c r="I200" s="28"/>
      <c r="J200" s="28"/>
      <c r="K200" s="28"/>
      <c r="L200" s="25" t="str">
        <f t="shared" si="1"/>
        <v/>
      </c>
    </row>
    <row r="201" spans="1:12" x14ac:dyDescent="0.25">
      <c r="A201" s="15" t="s">
        <v>246</v>
      </c>
      <c r="B201" s="19"/>
      <c r="C201" s="19"/>
      <c r="D201" s="19"/>
      <c r="E201" s="24"/>
      <c r="F201" s="19"/>
      <c r="G201" s="19"/>
      <c r="H201" s="25" t="str">
        <f t="shared" si="0"/>
        <v/>
      </c>
      <c r="I201" s="28"/>
      <c r="J201" s="28"/>
      <c r="K201" s="28"/>
      <c r="L201" s="25" t="str">
        <f t="shared" si="1"/>
        <v/>
      </c>
    </row>
    <row r="202" spans="1:12" x14ac:dyDescent="0.25">
      <c r="A202" s="15" t="s">
        <v>247</v>
      </c>
      <c r="B202" s="19"/>
      <c r="C202" s="19"/>
      <c r="D202" s="19"/>
      <c r="E202" s="24"/>
      <c r="F202" s="19"/>
      <c r="G202" s="19"/>
      <c r="H202" s="25" t="str">
        <f t="shared" si="0"/>
        <v/>
      </c>
      <c r="I202" s="28"/>
      <c r="J202" s="28"/>
      <c r="K202" s="28"/>
      <c r="L202" s="25" t="str">
        <f t="shared" si="1"/>
        <v/>
      </c>
    </row>
    <row r="203" spans="1:12" x14ac:dyDescent="0.25">
      <c r="A203" s="15" t="s">
        <v>248</v>
      </c>
      <c r="B203" s="19"/>
      <c r="C203" s="19"/>
      <c r="D203" s="19"/>
      <c r="E203" s="24"/>
      <c r="F203" s="19"/>
      <c r="G203" s="19"/>
      <c r="H203" s="25" t="str">
        <f t="shared" si="0"/>
        <v/>
      </c>
      <c r="I203" s="28"/>
      <c r="J203" s="28"/>
      <c r="K203" s="28"/>
      <c r="L203" s="25" t="str">
        <f t="shared" si="1"/>
        <v/>
      </c>
    </row>
    <row r="204" spans="1:12" x14ac:dyDescent="0.25">
      <c r="A204" s="15" t="s">
        <v>249</v>
      </c>
      <c r="B204" s="19"/>
      <c r="C204" s="19"/>
      <c r="D204" s="19"/>
      <c r="E204" s="24"/>
      <c r="F204" s="19"/>
      <c r="G204" s="19"/>
      <c r="H204" s="25" t="str">
        <f t="shared" si="0"/>
        <v/>
      </c>
      <c r="I204" s="28"/>
      <c r="J204" s="28"/>
      <c r="K204" s="28"/>
      <c r="L204" s="25" t="str">
        <f t="shared" si="1"/>
        <v/>
      </c>
    </row>
    <row r="205" spans="1:12" x14ac:dyDescent="0.25">
      <c r="A205" s="15" t="s">
        <v>250</v>
      </c>
      <c r="B205" s="19"/>
      <c r="C205" s="19"/>
      <c r="D205" s="19"/>
      <c r="E205" s="24"/>
      <c r="F205" s="19"/>
      <c r="G205" s="19"/>
      <c r="H205" s="25" t="str">
        <f t="shared" si="0"/>
        <v/>
      </c>
      <c r="I205" s="28"/>
      <c r="J205" s="28"/>
      <c r="K205" s="28"/>
      <c r="L205" s="25" t="str">
        <f t="shared" si="1"/>
        <v/>
      </c>
    </row>
    <row r="206" spans="1:12" x14ac:dyDescent="0.25">
      <c r="A206" s="15" t="s">
        <v>251</v>
      </c>
      <c r="B206" s="19"/>
      <c r="C206" s="19"/>
      <c r="D206" s="19"/>
      <c r="E206" s="24"/>
      <c r="F206" s="19"/>
      <c r="G206" s="19"/>
      <c r="H206" s="25" t="str">
        <f t="shared" si="0"/>
        <v/>
      </c>
      <c r="I206" s="28"/>
      <c r="J206" s="28"/>
      <c r="K206" s="28"/>
      <c r="L206" s="25" t="str">
        <f t="shared" si="1"/>
        <v/>
      </c>
    </row>
    <row r="207" spans="1:12" x14ac:dyDescent="0.25">
      <c r="A207" s="15" t="s">
        <v>252</v>
      </c>
      <c r="B207" s="19"/>
      <c r="C207" s="19"/>
      <c r="D207" s="19"/>
      <c r="E207" s="24"/>
      <c r="F207" s="19"/>
      <c r="G207" s="19"/>
      <c r="H207" s="25" t="str">
        <f t="shared" si="0"/>
        <v/>
      </c>
      <c r="I207" s="28"/>
      <c r="J207" s="28"/>
      <c r="K207" s="28"/>
      <c r="L207" s="25" t="str">
        <f t="shared" si="1"/>
        <v/>
      </c>
    </row>
    <row r="208" spans="1:12" x14ac:dyDescent="0.25">
      <c r="A208" s="15" t="s">
        <v>253</v>
      </c>
      <c r="B208" s="19"/>
      <c r="C208" s="19"/>
      <c r="D208" s="19"/>
      <c r="E208" s="24"/>
      <c r="F208" s="19"/>
      <c r="G208" s="19"/>
      <c r="H208" s="25" t="str">
        <f t="shared" si="0"/>
        <v/>
      </c>
      <c r="I208" s="28"/>
      <c r="J208" s="28"/>
      <c r="K208" s="28"/>
      <c r="L208" s="25" t="str">
        <f t="shared" si="1"/>
        <v/>
      </c>
    </row>
    <row r="209" spans="1:12" x14ac:dyDescent="0.25">
      <c r="A209" s="15" t="s">
        <v>254</v>
      </c>
      <c r="B209" s="19"/>
      <c r="C209" s="19"/>
      <c r="D209" s="19"/>
      <c r="E209" s="24"/>
      <c r="F209" s="19"/>
      <c r="G209" s="19"/>
      <c r="H209" s="25" t="str">
        <f t="shared" si="0"/>
        <v/>
      </c>
      <c r="I209" s="28"/>
      <c r="J209" s="28"/>
      <c r="K209" s="28"/>
      <c r="L209" s="25" t="str">
        <f t="shared" si="1"/>
        <v/>
      </c>
    </row>
    <row r="210" spans="1:12" x14ac:dyDescent="0.25">
      <c r="A210" s="15" t="s">
        <v>255</v>
      </c>
      <c r="B210" s="19"/>
      <c r="C210" s="19"/>
      <c r="D210" s="19"/>
      <c r="E210" s="24"/>
      <c r="F210" s="19"/>
      <c r="G210" s="19"/>
      <c r="H210" s="25" t="str">
        <f t="shared" si="0"/>
        <v/>
      </c>
      <c r="I210" s="28"/>
      <c r="J210" s="28"/>
      <c r="K210" s="28"/>
      <c r="L210" s="25" t="str">
        <f t="shared" si="1"/>
        <v/>
      </c>
    </row>
    <row r="211" spans="1:12" x14ac:dyDescent="0.25">
      <c r="A211" s="15" t="s">
        <v>256</v>
      </c>
      <c r="B211" s="19"/>
      <c r="C211" s="19"/>
      <c r="D211" s="19"/>
      <c r="E211" s="24"/>
      <c r="F211" s="19"/>
      <c r="G211" s="19"/>
      <c r="H211" s="25" t="str">
        <f t="shared" si="0"/>
        <v/>
      </c>
      <c r="I211" s="28"/>
      <c r="J211" s="28"/>
      <c r="K211" s="28"/>
      <c r="L211" s="25" t="str">
        <f t="shared" si="1"/>
        <v/>
      </c>
    </row>
    <row r="212" spans="1:12" x14ac:dyDescent="0.25">
      <c r="A212" s="15" t="s">
        <v>257</v>
      </c>
      <c r="B212" s="19"/>
      <c r="C212" s="19"/>
      <c r="D212" s="19"/>
      <c r="E212" s="24"/>
      <c r="F212" s="19"/>
      <c r="G212" s="19"/>
      <c r="H212" s="25" t="str">
        <f t="shared" si="0"/>
        <v/>
      </c>
      <c r="I212" s="28"/>
      <c r="J212" s="28"/>
      <c r="K212" s="28"/>
      <c r="L212" s="25" t="str">
        <f t="shared" si="1"/>
        <v/>
      </c>
    </row>
    <row r="213" spans="1:12" x14ac:dyDescent="0.25">
      <c r="A213" s="15" t="s">
        <v>258</v>
      </c>
      <c r="B213" s="19"/>
      <c r="C213" s="19"/>
      <c r="D213" s="19"/>
      <c r="E213" s="24"/>
      <c r="F213" s="19"/>
      <c r="G213" s="19"/>
      <c r="H213" s="25" t="str">
        <f t="shared" si="0"/>
        <v/>
      </c>
      <c r="I213" s="28"/>
      <c r="J213" s="28"/>
      <c r="K213" s="28"/>
      <c r="L213" s="25" t="str">
        <f t="shared" si="1"/>
        <v/>
      </c>
    </row>
    <row r="214" spans="1:12" x14ac:dyDescent="0.25">
      <c r="A214" s="15" t="s">
        <v>259</v>
      </c>
      <c r="B214" s="19"/>
      <c r="C214" s="19"/>
      <c r="D214" s="19"/>
      <c r="E214" s="24"/>
      <c r="F214" s="19"/>
      <c r="G214" s="19"/>
      <c r="H214" s="25" t="str">
        <f t="shared" si="0"/>
        <v/>
      </c>
      <c r="I214" s="28"/>
      <c r="J214" s="28"/>
      <c r="K214" s="28"/>
      <c r="L214" s="25" t="str">
        <f t="shared" si="1"/>
        <v/>
      </c>
    </row>
    <row r="215" spans="1:12" x14ac:dyDescent="0.25">
      <c r="A215" s="15" t="s">
        <v>260</v>
      </c>
      <c r="B215" s="19"/>
      <c r="C215" s="19"/>
      <c r="D215" s="19"/>
      <c r="E215" s="24"/>
      <c r="F215" s="19"/>
      <c r="G215" s="19"/>
      <c r="H215" s="25" t="str">
        <f t="shared" si="0"/>
        <v/>
      </c>
      <c r="I215" s="28"/>
      <c r="J215" s="28"/>
      <c r="K215" s="28"/>
      <c r="L215" s="25" t="str">
        <f t="shared" si="1"/>
        <v/>
      </c>
    </row>
    <row r="216" spans="1:12" x14ac:dyDescent="0.25">
      <c r="A216" s="15" t="s">
        <v>261</v>
      </c>
      <c r="B216" s="19"/>
      <c r="C216" s="19"/>
      <c r="D216" s="19"/>
      <c r="E216" s="24"/>
      <c r="F216" s="19"/>
      <c r="G216" s="19"/>
      <c r="H216" s="25" t="str">
        <f t="shared" si="0"/>
        <v/>
      </c>
      <c r="I216" s="28"/>
      <c r="J216" s="28"/>
      <c r="K216" s="28"/>
      <c r="L216" s="25" t="str">
        <f t="shared" si="1"/>
        <v/>
      </c>
    </row>
    <row r="217" spans="1:12" x14ac:dyDescent="0.25">
      <c r="A217" s="15" t="s">
        <v>262</v>
      </c>
      <c r="B217" s="19"/>
      <c r="C217" s="19"/>
      <c r="D217" s="19"/>
      <c r="E217" s="24"/>
      <c r="F217" s="19"/>
      <c r="G217" s="19"/>
      <c r="H217" s="25" t="str">
        <f t="shared" si="0"/>
        <v/>
      </c>
      <c r="I217" s="28"/>
      <c r="J217" s="28"/>
      <c r="K217" s="28"/>
      <c r="L217" s="25" t="str">
        <f t="shared" si="1"/>
        <v/>
      </c>
    </row>
    <row r="218" spans="1:12" x14ac:dyDescent="0.25">
      <c r="A218" s="15" t="s">
        <v>263</v>
      </c>
      <c r="B218" s="19"/>
      <c r="C218" s="19"/>
      <c r="D218" s="19"/>
      <c r="E218" s="24"/>
      <c r="F218" s="19"/>
      <c r="G218" s="19"/>
      <c r="H218" s="25" t="str">
        <f t="shared" si="0"/>
        <v/>
      </c>
      <c r="I218" s="28"/>
      <c r="J218" s="28"/>
      <c r="K218" s="28"/>
      <c r="L218" s="25" t="str">
        <f t="shared" si="1"/>
        <v/>
      </c>
    </row>
    <row r="219" spans="1:12" x14ac:dyDescent="0.25">
      <c r="A219" s="15" t="s">
        <v>264</v>
      </c>
      <c r="B219" s="19"/>
      <c r="C219" s="19"/>
      <c r="D219" s="19"/>
      <c r="E219" s="24"/>
      <c r="F219" s="19"/>
      <c r="G219" s="19"/>
      <c r="H219" s="25" t="str">
        <f t="shared" si="0"/>
        <v/>
      </c>
      <c r="I219" s="28"/>
      <c r="J219" s="28"/>
      <c r="K219" s="28"/>
      <c r="L219" s="25" t="str">
        <f t="shared" si="1"/>
        <v/>
      </c>
    </row>
    <row r="220" spans="1:12" x14ac:dyDescent="0.25">
      <c r="A220" s="15" t="s">
        <v>265</v>
      </c>
      <c r="B220" s="19"/>
      <c r="C220" s="19"/>
      <c r="D220" s="19"/>
      <c r="E220" s="24"/>
      <c r="F220" s="19"/>
      <c r="G220" s="19"/>
      <c r="H220" s="25" t="str">
        <f t="shared" si="0"/>
        <v/>
      </c>
      <c r="I220" s="28"/>
      <c r="J220" s="28"/>
      <c r="K220" s="28"/>
      <c r="L220" s="25" t="str">
        <f t="shared" si="1"/>
        <v/>
      </c>
    </row>
    <row r="221" spans="1:12" x14ac:dyDescent="0.25">
      <c r="A221" s="15" t="s">
        <v>266</v>
      </c>
      <c r="B221" s="19"/>
      <c r="C221" s="19"/>
      <c r="D221" s="19"/>
      <c r="E221" s="24"/>
      <c r="F221" s="19"/>
      <c r="G221" s="19"/>
      <c r="H221" s="25" t="str">
        <f t="shared" si="0"/>
        <v/>
      </c>
      <c r="I221" s="28"/>
      <c r="J221" s="28"/>
      <c r="K221" s="28"/>
      <c r="L221" s="25" t="str">
        <f t="shared" si="1"/>
        <v/>
      </c>
    </row>
    <row r="222" spans="1:12" x14ac:dyDescent="0.25">
      <c r="A222" s="15" t="s">
        <v>267</v>
      </c>
      <c r="B222" s="19"/>
      <c r="C222" s="19"/>
      <c r="D222" s="19"/>
      <c r="E222" s="24"/>
      <c r="F222" s="19"/>
      <c r="G222" s="19"/>
      <c r="H222" s="25" t="str">
        <f t="shared" si="0"/>
        <v/>
      </c>
      <c r="I222" s="28"/>
      <c r="J222" s="28"/>
      <c r="K222" s="28"/>
      <c r="L222" s="25" t="str">
        <f t="shared" si="1"/>
        <v/>
      </c>
    </row>
    <row r="223" spans="1:12" x14ac:dyDescent="0.25">
      <c r="A223" s="15" t="s">
        <v>268</v>
      </c>
      <c r="B223" s="19"/>
      <c r="C223" s="19"/>
      <c r="D223" s="19"/>
      <c r="E223" s="24"/>
      <c r="F223" s="19"/>
      <c r="G223" s="19"/>
      <c r="H223" s="25" t="str">
        <f t="shared" si="0"/>
        <v/>
      </c>
      <c r="I223" s="28"/>
      <c r="J223" s="28"/>
      <c r="K223" s="28"/>
      <c r="L223" s="25" t="str">
        <f t="shared" si="1"/>
        <v/>
      </c>
    </row>
    <row r="224" spans="1:12" x14ac:dyDescent="0.25">
      <c r="A224" s="15" t="s">
        <v>269</v>
      </c>
      <c r="B224" s="19"/>
      <c r="C224" s="19"/>
      <c r="D224" s="19"/>
      <c r="E224" s="24"/>
      <c r="F224" s="19"/>
      <c r="G224" s="19"/>
      <c r="H224" s="25" t="str">
        <f t="shared" si="0"/>
        <v/>
      </c>
      <c r="I224" s="28"/>
      <c r="J224" s="28"/>
      <c r="K224" s="28"/>
      <c r="L224" s="25" t="str">
        <f t="shared" si="1"/>
        <v/>
      </c>
    </row>
    <row r="225" spans="1:12" x14ac:dyDescent="0.25">
      <c r="A225" s="15" t="s">
        <v>270</v>
      </c>
      <c r="B225" s="19"/>
      <c r="C225" s="19"/>
      <c r="D225" s="19"/>
      <c r="E225" s="24"/>
      <c r="F225" s="19"/>
      <c r="G225" s="19"/>
      <c r="H225" s="25" t="str">
        <f t="shared" si="0"/>
        <v/>
      </c>
      <c r="I225" s="28"/>
      <c r="J225" s="28"/>
      <c r="K225" s="28"/>
      <c r="L225" s="25" t="str">
        <f t="shared" si="1"/>
        <v/>
      </c>
    </row>
    <row r="226" spans="1:12" x14ac:dyDescent="0.25">
      <c r="A226" s="15" t="s">
        <v>271</v>
      </c>
      <c r="B226" s="19"/>
      <c r="C226" s="19"/>
      <c r="D226" s="19"/>
      <c r="E226" s="24"/>
      <c r="F226" s="19"/>
      <c r="G226" s="19"/>
      <c r="H226" s="25" t="str">
        <f t="shared" si="0"/>
        <v/>
      </c>
      <c r="I226" s="28"/>
      <c r="J226" s="28"/>
      <c r="K226" s="28"/>
      <c r="L226" s="25" t="str">
        <f t="shared" si="1"/>
        <v/>
      </c>
    </row>
    <row r="227" spans="1:12" x14ac:dyDescent="0.25">
      <c r="A227" s="15" t="s">
        <v>272</v>
      </c>
      <c r="B227" s="19"/>
      <c r="C227" s="19"/>
      <c r="D227" s="19"/>
      <c r="E227" s="24"/>
      <c r="F227" s="19"/>
      <c r="G227" s="19"/>
      <c r="H227" s="25" t="str">
        <f t="shared" si="0"/>
        <v/>
      </c>
      <c r="I227" s="28"/>
      <c r="J227" s="28"/>
      <c r="K227" s="28"/>
      <c r="L227" s="25" t="str">
        <f t="shared" si="1"/>
        <v/>
      </c>
    </row>
    <row r="228" spans="1:12" x14ac:dyDescent="0.25">
      <c r="A228" s="15" t="s">
        <v>273</v>
      </c>
      <c r="B228" s="19"/>
      <c r="C228" s="19"/>
      <c r="D228" s="19"/>
      <c r="E228" s="24"/>
      <c r="F228" s="19"/>
      <c r="G228" s="19"/>
      <c r="H228" s="25" t="str">
        <f t="shared" si="0"/>
        <v/>
      </c>
      <c r="I228" s="28"/>
      <c r="J228" s="28"/>
      <c r="K228" s="28"/>
      <c r="L228" s="25" t="str">
        <f t="shared" si="1"/>
        <v/>
      </c>
    </row>
    <row r="229" spans="1:12" x14ac:dyDescent="0.25">
      <c r="A229" s="15" t="s">
        <v>274</v>
      </c>
      <c r="B229" s="19"/>
      <c r="C229" s="19"/>
      <c r="D229" s="19"/>
      <c r="E229" s="24"/>
      <c r="F229" s="19"/>
      <c r="G229" s="19"/>
      <c r="H229" s="25" t="str">
        <f t="shared" si="0"/>
        <v/>
      </c>
      <c r="I229" s="28"/>
      <c r="J229" s="28"/>
      <c r="K229" s="28"/>
      <c r="L229" s="25" t="str">
        <f t="shared" si="1"/>
        <v/>
      </c>
    </row>
    <row r="230" spans="1:12" x14ac:dyDescent="0.25">
      <c r="A230" s="15" t="s">
        <v>275</v>
      </c>
      <c r="B230" s="19"/>
      <c r="C230" s="19"/>
      <c r="D230" s="19"/>
      <c r="E230" s="24"/>
      <c r="F230" s="19"/>
      <c r="G230" s="19"/>
      <c r="H230" s="25" t="str">
        <f t="shared" si="0"/>
        <v/>
      </c>
      <c r="I230" s="28"/>
      <c r="J230" s="28"/>
      <c r="K230" s="28"/>
      <c r="L230" s="25" t="str">
        <f t="shared" si="1"/>
        <v/>
      </c>
    </row>
    <row r="231" spans="1:12" x14ac:dyDescent="0.25">
      <c r="A231" s="15" t="s">
        <v>276</v>
      </c>
      <c r="B231" s="19"/>
      <c r="C231" s="19"/>
      <c r="D231" s="19"/>
      <c r="E231" s="24"/>
      <c r="F231" s="19"/>
      <c r="G231" s="19"/>
      <c r="H231" s="25" t="str">
        <f t="shared" si="0"/>
        <v/>
      </c>
      <c r="I231" s="28"/>
      <c r="J231" s="28"/>
      <c r="K231" s="28"/>
      <c r="L231" s="25" t="str">
        <f t="shared" si="1"/>
        <v/>
      </c>
    </row>
    <row r="232" spans="1:12" x14ac:dyDescent="0.25">
      <c r="A232" s="15" t="s">
        <v>277</v>
      </c>
      <c r="B232" s="19"/>
      <c r="C232" s="19"/>
      <c r="D232" s="19"/>
      <c r="E232" s="24"/>
      <c r="F232" s="19"/>
      <c r="G232" s="19"/>
      <c r="H232" s="25" t="str">
        <f t="shared" si="0"/>
        <v/>
      </c>
      <c r="I232" s="28"/>
      <c r="J232" s="28"/>
      <c r="K232" s="28"/>
      <c r="L232" s="25" t="str">
        <f t="shared" si="1"/>
        <v/>
      </c>
    </row>
    <row r="233" spans="1:12" x14ac:dyDescent="0.25">
      <c r="A233" s="15" t="s">
        <v>278</v>
      </c>
      <c r="B233" s="19"/>
      <c r="C233" s="19"/>
      <c r="D233" s="19"/>
      <c r="E233" s="24"/>
      <c r="F233" s="19"/>
      <c r="G233" s="19"/>
      <c r="H233" s="25" t="str">
        <f t="shared" si="0"/>
        <v/>
      </c>
      <c r="I233" s="28"/>
      <c r="J233" s="28"/>
      <c r="K233" s="28"/>
      <c r="L233" s="25" t="str">
        <f t="shared" si="1"/>
        <v/>
      </c>
    </row>
    <row r="234" spans="1:12" x14ac:dyDescent="0.25">
      <c r="A234" s="15" t="s">
        <v>279</v>
      </c>
      <c r="B234" s="19"/>
      <c r="C234" s="19"/>
      <c r="D234" s="19"/>
      <c r="E234" s="24"/>
      <c r="F234" s="19"/>
      <c r="G234" s="19"/>
      <c r="H234" s="25" t="str">
        <f t="shared" si="0"/>
        <v/>
      </c>
      <c r="I234" s="28"/>
      <c r="J234" s="28"/>
      <c r="K234" s="28"/>
      <c r="L234" s="25" t="str">
        <f t="shared" si="1"/>
        <v/>
      </c>
    </row>
    <row r="235" spans="1:12" x14ac:dyDescent="0.25">
      <c r="A235" s="15" t="s">
        <v>280</v>
      </c>
      <c r="B235" s="19"/>
      <c r="C235" s="19"/>
      <c r="D235" s="19"/>
      <c r="E235" s="24"/>
      <c r="F235" s="19"/>
      <c r="G235" s="19"/>
      <c r="H235" s="25" t="str">
        <f t="shared" si="0"/>
        <v/>
      </c>
      <c r="I235" s="28"/>
      <c r="J235" s="28"/>
      <c r="K235" s="28"/>
      <c r="L235" s="25" t="str">
        <f t="shared" si="1"/>
        <v/>
      </c>
    </row>
    <row r="236" spans="1:12" x14ac:dyDescent="0.25">
      <c r="A236" s="15" t="s">
        <v>281</v>
      </c>
      <c r="B236" s="19"/>
      <c r="C236" s="19"/>
      <c r="D236" s="19"/>
      <c r="E236" s="24"/>
      <c r="F236" s="19"/>
      <c r="G236" s="19"/>
      <c r="H236" s="25" t="str">
        <f t="shared" si="0"/>
        <v/>
      </c>
      <c r="I236" s="28"/>
      <c r="J236" s="28"/>
      <c r="K236" s="28"/>
      <c r="L236" s="25" t="str">
        <f t="shared" si="1"/>
        <v/>
      </c>
    </row>
    <row r="237" spans="1:12" x14ac:dyDescent="0.25">
      <c r="A237" s="15" t="s">
        <v>282</v>
      </c>
      <c r="B237" s="19"/>
      <c r="C237" s="19"/>
      <c r="D237" s="19"/>
      <c r="E237" s="24"/>
      <c r="F237" s="19"/>
      <c r="G237" s="19"/>
      <c r="H237" s="25" t="str">
        <f t="shared" si="0"/>
        <v/>
      </c>
      <c r="I237" s="28"/>
      <c r="J237" s="28"/>
      <c r="K237" s="28"/>
      <c r="L237" s="25" t="str">
        <f t="shared" si="1"/>
        <v/>
      </c>
    </row>
    <row r="238" spans="1:12" x14ac:dyDescent="0.25">
      <c r="A238" s="15" t="s">
        <v>283</v>
      </c>
      <c r="B238" s="19"/>
      <c r="C238" s="19"/>
      <c r="D238" s="19"/>
      <c r="E238" s="24"/>
      <c r="F238" s="19"/>
      <c r="G238" s="19"/>
      <c r="H238" s="25" t="str">
        <f t="shared" si="0"/>
        <v/>
      </c>
      <c r="I238" s="28"/>
      <c r="J238" s="28"/>
      <c r="K238" s="28"/>
      <c r="L238" s="25" t="str">
        <f t="shared" si="1"/>
        <v/>
      </c>
    </row>
    <row r="239" spans="1:12" x14ac:dyDescent="0.25">
      <c r="A239" s="15" t="s">
        <v>284</v>
      </c>
      <c r="B239" s="19"/>
      <c r="C239" s="19"/>
      <c r="D239" s="19"/>
      <c r="E239" s="24"/>
      <c r="F239" s="19"/>
      <c r="G239" s="19"/>
      <c r="H239" s="25" t="str">
        <f t="shared" si="0"/>
        <v/>
      </c>
      <c r="I239" s="28"/>
      <c r="J239" s="28"/>
      <c r="K239" s="28"/>
      <c r="L239" s="25" t="str">
        <f t="shared" si="1"/>
        <v/>
      </c>
    </row>
    <row r="240" spans="1:12" x14ac:dyDescent="0.25">
      <c r="A240" s="15" t="s">
        <v>285</v>
      </c>
      <c r="B240" s="19"/>
      <c r="C240" s="19"/>
      <c r="D240" s="19"/>
      <c r="E240" s="24"/>
      <c r="F240" s="19"/>
      <c r="G240" s="19"/>
      <c r="H240" s="25" t="str">
        <f t="shared" si="0"/>
        <v/>
      </c>
      <c r="I240" s="28"/>
      <c r="J240" s="28"/>
      <c r="K240" s="28"/>
      <c r="L240" s="25" t="str">
        <f t="shared" si="1"/>
        <v/>
      </c>
    </row>
    <row r="241" spans="1:12" x14ac:dyDescent="0.25">
      <c r="A241" s="15" t="s">
        <v>286</v>
      </c>
      <c r="B241" s="19"/>
      <c r="C241" s="19"/>
      <c r="D241" s="19"/>
      <c r="E241" s="24"/>
      <c r="F241" s="19"/>
      <c r="G241" s="19"/>
      <c r="H241" s="25" t="str">
        <f t="shared" si="0"/>
        <v/>
      </c>
      <c r="I241" s="28"/>
      <c r="J241" s="28"/>
      <c r="K241" s="28"/>
      <c r="L241" s="25" t="str">
        <f t="shared" si="1"/>
        <v/>
      </c>
    </row>
    <row r="242" spans="1:12" x14ac:dyDescent="0.25">
      <c r="A242" s="15" t="s">
        <v>287</v>
      </c>
      <c r="B242" s="19"/>
      <c r="C242" s="19"/>
      <c r="D242" s="19"/>
      <c r="E242" s="24"/>
      <c r="F242" s="19"/>
      <c r="G242" s="19"/>
      <c r="H242" s="25" t="str">
        <f t="shared" si="0"/>
        <v/>
      </c>
      <c r="I242" s="28"/>
      <c r="J242" s="28"/>
      <c r="K242" s="28"/>
      <c r="L242" s="25" t="str">
        <f t="shared" si="1"/>
        <v/>
      </c>
    </row>
    <row r="243" spans="1:12" x14ac:dyDescent="0.25">
      <c r="A243" s="15" t="s">
        <v>288</v>
      </c>
      <c r="B243" s="19"/>
      <c r="C243" s="19"/>
      <c r="D243" s="19"/>
      <c r="E243" s="24"/>
      <c r="F243" s="19"/>
      <c r="G243" s="19"/>
      <c r="H243" s="25" t="str">
        <f t="shared" si="0"/>
        <v/>
      </c>
      <c r="I243" s="28"/>
      <c r="J243" s="28"/>
      <c r="K243" s="28"/>
      <c r="L243" s="25" t="str">
        <f t="shared" si="1"/>
        <v/>
      </c>
    </row>
    <row r="244" spans="1:12" x14ac:dyDescent="0.25">
      <c r="A244" s="15" t="s">
        <v>289</v>
      </c>
      <c r="B244" s="19"/>
      <c r="C244" s="19"/>
      <c r="D244" s="19"/>
      <c r="E244" s="24"/>
      <c r="F244" s="19"/>
      <c r="G244" s="19"/>
      <c r="H244" s="25" t="str">
        <f t="shared" si="0"/>
        <v/>
      </c>
      <c r="I244" s="28"/>
      <c r="J244" s="28"/>
      <c r="K244" s="28"/>
      <c r="L244" s="25" t="str">
        <f t="shared" si="1"/>
        <v/>
      </c>
    </row>
    <row r="245" spans="1:12" x14ac:dyDescent="0.25">
      <c r="A245" s="15" t="s">
        <v>290</v>
      </c>
      <c r="B245" s="19"/>
      <c r="C245" s="19"/>
      <c r="D245" s="19"/>
      <c r="E245" s="24"/>
      <c r="F245" s="19"/>
      <c r="G245" s="19"/>
      <c r="H245" s="25" t="str">
        <f t="shared" si="0"/>
        <v/>
      </c>
      <c r="I245" s="28"/>
      <c r="J245" s="28"/>
      <c r="K245" s="28"/>
      <c r="L245" s="25" t="str">
        <f t="shared" si="1"/>
        <v/>
      </c>
    </row>
    <row r="246" spans="1:12" x14ac:dyDescent="0.25">
      <c r="A246" s="15" t="s">
        <v>291</v>
      </c>
      <c r="B246" s="19"/>
      <c r="C246" s="19"/>
      <c r="D246" s="19"/>
      <c r="E246" s="24"/>
      <c r="F246" s="19"/>
      <c r="G246" s="19"/>
      <c r="H246" s="25" t="str">
        <f t="shared" si="0"/>
        <v/>
      </c>
      <c r="I246" s="28"/>
      <c r="J246" s="28"/>
      <c r="K246" s="28"/>
      <c r="L246" s="25" t="str">
        <f t="shared" si="1"/>
        <v/>
      </c>
    </row>
    <row r="247" spans="1:12" x14ac:dyDescent="0.25">
      <c r="A247" s="15" t="s">
        <v>292</v>
      </c>
      <c r="B247" s="19"/>
      <c r="C247" s="19"/>
      <c r="D247" s="19"/>
      <c r="E247" s="24"/>
      <c r="F247" s="19"/>
      <c r="G247" s="19"/>
      <c r="H247" s="25" t="str">
        <f t="shared" si="0"/>
        <v/>
      </c>
      <c r="I247" s="28"/>
      <c r="J247" s="28"/>
      <c r="K247" s="28"/>
      <c r="L247" s="25" t="str">
        <f t="shared" si="1"/>
        <v/>
      </c>
    </row>
    <row r="248" spans="1:12" x14ac:dyDescent="0.25">
      <c r="A248" s="15" t="s">
        <v>293</v>
      </c>
      <c r="B248" s="19"/>
      <c r="C248" s="19"/>
      <c r="D248" s="19"/>
      <c r="E248" s="24"/>
      <c r="F248" s="19"/>
      <c r="G248" s="19"/>
      <c r="H248" s="25" t="str">
        <f t="shared" si="0"/>
        <v/>
      </c>
      <c r="I248" s="28"/>
      <c r="J248" s="28"/>
      <c r="K248" s="28"/>
      <c r="L248" s="25" t="str">
        <f t="shared" si="1"/>
        <v/>
      </c>
    </row>
    <row r="249" spans="1:12" x14ac:dyDescent="0.25">
      <c r="A249" s="15" t="s">
        <v>294</v>
      </c>
      <c r="B249" s="19"/>
      <c r="C249" s="19"/>
      <c r="D249" s="19"/>
      <c r="E249" s="24"/>
      <c r="F249" s="19"/>
      <c r="G249" s="19"/>
      <c r="H249" s="25" t="str">
        <f t="shared" si="0"/>
        <v/>
      </c>
      <c r="I249" s="28"/>
      <c r="J249" s="28"/>
      <c r="K249" s="28"/>
      <c r="L249" s="25" t="str">
        <f t="shared" si="1"/>
        <v/>
      </c>
    </row>
    <row r="250" spans="1:12" x14ac:dyDescent="0.25">
      <c r="A250" s="15" t="s">
        <v>295</v>
      </c>
      <c r="B250" s="19"/>
      <c r="C250" s="19"/>
      <c r="D250" s="19"/>
      <c r="E250" s="24"/>
      <c r="F250" s="19"/>
      <c r="G250" s="19"/>
      <c r="H250" s="25" t="str">
        <f t="shared" si="0"/>
        <v/>
      </c>
      <c r="I250" s="28"/>
      <c r="J250" s="28"/>
      <c r="K250" s="28"/>
      <c r="L250" s="25" t="str">
        <f t="shared" si="1"/>
        <v/>
      </c>
    </row>
    <row r="251" spans="1:12" x14ac:dyDescent="0.25">
      <c r="A251" s="15" t="s">
        <v>296</v>
      </c>
      <c r="B251" s="19"/>
      <c r="C251" s="19"/>
      <c r="D251" s="19"/>
      <c r="E251" s="24"/>
      <c r="F251" s="19"/>
      <c r="G251" s="19"/>
      <c r="H251" s="25" t="str">
        <f t="shared" si="0"/>
        <v/>
      </c>
      <c r="I251" s="28"/>
      <c r="J251" s="28"/>
      <c r="K251" s="28"/>
      <c r="L251" s="25" t="str">
        <f t="shared" si="1"/>
        <v/>
      </c>
    </row>
    <row r="252" spans="1:12" x14ac:dyDescent="0.25">
      <c r="A252" s="15" t="s">
        <v>297</v>
      </c>
      <c r="B252" s="19"/>
      <c r="C252" s="19"/>
      <c r="D252" s="19"/>
      <c r="E252" s="24"/>
      <c r="F252" s="19"/>
      <c r="G252" s="19"/>
      <c r="H252" s="25" t="str">
        <f t="shared" si="0"/>
        <v/>
      </c>
      <c r="I252" s="28"/>
      <c r="J252" s="28"/>
      <c r="K252" s="28"/>
      <c r="L252" s="25" t="str">
        <f t="shared" si="1"/>
        <v/>
      </c>
    </row>
    <row r="253" spans="1:12" x14ac:dyDescent="0.25">
      <c r="A253" s="15" t="s">
        <v>298</v>
      </c>
      <c r="B253" s="19"/>
      <c r="C253" s="19"/>
      <c r="D253" s="19"/>
      <c r="E253" s="24"/>
      <c r="F253" s="19"/>
      <c r="G253" s="19"/>
      <c r="H253" s="25" t="str">
        <f t="shared" si="0"/>
        <v/>
      </c>
      <c r="I253" s="28"/>
      <c r="J253" s="28"/>
      <c r="K253" s="28"/>
      <c r="L253" s="25" t="str">
        <f t="shared" si="1"/>
        <v/>
      </c>
    </row>
    <row r="254" spans="1:12" x14ac:dyDescent="0.25">
      <c r="A254" s="15" t="s">
        <v>299</v>
      </c>
      <c r="B254" s="19"/>
      <c r="C254" s="19"/>
      <c r="D254" s="19"/>
      <c r="E254" s="24"/>
      <c r="F254" s="19"/>
      <c r="G254" s="19"/>
      <c r="H254" s="25" t="str">
        <f t="shared" si="0"/>
        <v/>
      </c>
      <c r="I254" s="28"/>
      <c r="J254" s="28"/>
      <c r="K254" s="28"/>
      <c r="L254" s="25" t="str">
        <f t="shared" si="1"/>
        <v/>
      </c>
    </row>
    <row r="255" spans="1:12" x14ac:dyDescent="0.25">
      <c r="A255" s="15" t="s">
        <v>300</v>
      </c>
      <c r="B255" s="19"/>
      <c r="C255" s="19"/>
      <c r="D255" s="19"/>
      <c r="E255" s="24"/>
      <c r="F255" s="19"/>
      <c r="G255" s="19"/>
      <c r="H255" s="25" t="str">
        <f t="shared" si="0"/>
        <v/>
      </c>
      <c r="I255" s="28"/>
      <c r="J255" s="28"/>
      <c r="K255" s="28"/>
      <c r="L255" s="25" t="str">
        <f t="shared" si="1"/>
        <v/>
      </c>
    </row>
    <row r="256" spans="1:12" x14ac:dyDescent="0.25">
      <c r="A256" s="15" t="s">
        <v>301</v>
      </c>
      <c r="B256" s="19"/>
      <c r="C256" s="19"/>
      <c r="D256" s="19"/>
      <c r="E256" s="24"/>
      <c r="F256" s="19"/>
      <c r="G256" s="19"/>
      <c r="H256" s="25" t="str">
        <f t="shared" si="0"/>
        <v/>
      </c>
      <c r="I256" s="28"/>
      <c r="J256" s="28"/>
      <c r="K256" s="28"/>
      <c r="L256" s="25" t="str">
        <f t="shared" si="1"/>
        <v/>
      </c>
    </row>
    <row r="257" spans="1:12" x14ac:dyDescent="0.25">
      <c r="A257" s="15" t="s">
        <v>302</v>
      </c>
      <c r="B257" s="19"/>
      <c r="C257" s="19"/>
      <c r="D257" s="19"/>
      <c r="E257" s="24"/>
      <c r="F257" s="19"/>
      <c r="G257" s="19"/>
      <c r="H257" s="25" t="str">
        <f t="shared" si="0"/>
        <v/>
      </c>
      <c r="I257" s="28"/>
      <c r="J257" s="28"/>
      <c r="K257" s="28"/>
      <c r="L257" s="25" t="str">
        <f t="shared" si="1"/>
        <v/>
      </c>
    </row>
    <row r="258" spans="1:12" x14ac:dyDescent="0.25">
      <c r="A258" s="15" t="s">
        <v>303</v>
      </c>
      <c r="B258" s="19"/>
      <c r="C258" s="19"/>
      <c r="D258" s="19"/>
      <c r="E258" s="24">
        <v>649.91999999999996</v>
      </c>
      <c r="F258" s="19">
        <f t="shared" si="3"/>
        <v>9.8679375923190555</v>
      </c>
      <c r="G258" s="19">
        <f>P13</f>
        <v>12.144212523719165</v>
      </c>
      <c r="H258" s="25">
        <f t="shared" ref="H258" si="8">IF(F258,F258-G258,"")</f>
        <v>-2.2762749314001098</v>
      </c>
      <c r="I258" s="28">
        <v>17606.63</v>
      </c>
      <c r="J258" s="19">
        <f>IF(I258&gt;0,$I$3/I258,"")</f>
        <v>7.4880842955182221</v>
      </c>
      <c r="K258" s="19">
        <f>AA13</f>
        <v>14.436090225563909</v>
      </c>
      <c r="L258" s="25">
        <f t="shared" ref="L258" si="9">IF(J258,J258-K258,"")</f>
        <v>-6.9480059300456869</v>
      </c>
    </row>
    <row r="259" spans="1:12" x14ac:dyDescent="0.25">
      <c r="A259" s="15"/>
      <c r="B259" s="19"/>
      <c r="C259" s="19"/>
      <c r="D259" s="19"/>
      <c r="E259" s="19"/>
      <c r="F259" s="19"/>
      <c r="G259" s="19"/>
      <c r="H259" s="19"/>
    </row>
    <row r="260" spans="1:12" x14ac:dyDescent="0.25">
      <c r="A260" s="15"/>
      <c r="B260" s="19"/>
      <c r="C260" s="19"/>
      <c r="D260" s="19"/>
      <c r="E260" s="19"/>
      <c r="F260" s="19"/>
      <c r="G260" s="19"/>
      <c r="H260" s="19"/>
    </row>
    <row r="261" spans="1:12" x14ac:dyDescent="0.25">
      <c r="A261" s="15"/>
      <c r="B261" s="19"/>
      <c r="C261" s="19"/>
      <c r="D261" s="19"/>
      <c r="E261" s="19"/>
      <c r="F261" s="19"/>
      <c r="G261" s="19"/>
      <c r="H261" s="19"/>
    </row>
    <row r="262" spans="1:12" x14ac:dyDescent="0.25">
      <c r="A262" s="15"/>
      <c r="B262" s="19"/>
      <c r="C262" s="19"/>
      <c r="D262" s="19"/>
      <c r="E262" s="19"/>
      <c r="F262" s="19"/>
      <c r="G262" s="19"/>
      <c r="H262" s="19"/>
    </row>
    <row r="263" spans="1:12" x14ac:dyDescent="0.25">
      <c r="A263" s="15"/>
      <c r="B263" s="19"/>
      <c r="C263" s="19"/>
      <c r="D263" s="19"/>
      <c r="E263" s="19"/>
      <c r="F263" s="19"/>
      <c r="G263" s="19"/>
      <c r="H263" s="19"/>
    </row>
    <row r="264" spans="1:12" x14ac:dyDescent="0.25">
      <c r="A264" s="15"/>
      <c r="B264" s="19"/>
      <c r="C264" s="19"/>
      <c r="D264" s="19"/>
      <c r="E264" s="19"/>
      <c r="F264" s="19"/>
      <c r="G264" s="19"/>
      <c r="H264" s="19"/>
    </row>
    <row r="265" spans="1:12" x14ac:dyDescent="0.25">
      <c r="A265" s="15"/>
      <c r="B265" s="19"/>
      <c r="C265" s="19"/>
      <c r="D265" s="19"/>
      <c r="E265" s="19"/>
      <c r="F265" s="19"/>
      <c r="G265" s="19"/>
      <c r="H265" s="19"/>
    </row>
    <row r="266" spans="1:12" x14ac:dyDescent="0.25">
      <c r="A266" s="15"/>
      <c r="B266" s="19"/>
      <c r="C266" s="19"/>
      <c r="D266" s="19"/>
      <c r="E266" s="19"/>
      <c r="F266" s="19"/>
      <c r="G266" s="19"/>
      <c r="H266" s="19"/>
    </row>
    <row r="267" spans="1:12" x14ac:dyDescent="0.25">
      <c r="A267" s="15"/>
      <c r="B267" s="19"/>
      <c r="C267" s="19"/>
      <c r="D267" s="19"/>
      <c r="E267" s="19"/>
      <c r="F267" s="19"/>
      <c r="G267" s="19"/>
      <c r="H267" s="19"/>
    </row>
    <row r="268" spans="1:12" x14ac:dyDescent="0.25">
      <c r="A268" s="15"/>
      <c r="B268" s="19"/>
      <c r="C268" s="19"/>
      <c r="D268" s="19"/>
      <c r="E268" s="19"/>
      <c r="F268" s="19"/>
      <c r="G268" s="19"/>
      <c r="H268" s="19"/>
    </row>
    <row r="269" spans="1:12" x14ac:dyDescent="0.25">
      <c r="A269" s="15"/>
      <c r="B269" s="19"/>
      <c r="C269" s="19"/>
      <c r="D269" s="19"/>
      <c r="E269" s="19"/>
      <c r="F269" s="19"/>
      <c r="G269" s="19"/>
      <c r="H269" s="19"/>
    </row>
    <row r="270" spans="1:12" x14ac:dyDescent="0.25">
      <c r="A270" s="15"/>
      <c r="B270" s="19"/>
      <c r="C270" s="19"/>
      <c r="D270" s="19"/>
      <c r="E270" s="19"/>
      <c r="F270" s="19"/>
      <c r="G270" s="19"/>
      <c r="H270" s="19"/>
    </row>
    <row r="271" spans="1:12" x14ac:dyDescent="0.25">
      <c r="A271" s="15"/>
      <c r="B271" s="19"/>
      <c r="C271" s="19"/>
      <c r="D271" s="19"/>
      <c r="E271" s="19"/>
      <c r="F271" s="19"/>
      <c r="G271" s="19"/>
      <c r="H271" s="19"/>
    </row>
    <row r="272" spans="1:12" x14ac:dyDescent="0.25">
      <c r="A272" s="15"/>
      <c r="B272" s="19"/>
      <c r="C272" s="19"/>
      <c r="D272" s="19"/>
      <c r="E272" s="19"/>
      <c r="F272" s="19"/>
      <c r="G272" s="19"/>
      <c r="H272" s="19"/>
    </row>
    <row r="273" spans="1:8" x14ac:dyDescent="0.25">
      <c r="A273" s="15"/>
      <c r="B273" s="19"/>
      <c r="C273" s="19"/>
      <c r="D273" s="19"/>
      <c r="E273" s="19"/>
      <c r="F273" s="19"/>
      <c r="G273" s="19"/>
      <c r="H273" s="19"/>
    </row>
    <row r="274" spans="1:8" x14ac:dyDescent="0.25">
      <c r="A274" s="15"/>
      <c r="B274" s="19"/>
      <c r="C274" s="19"/>
      <c r="D274" s="19"/>
      <c r="E274" s="19"/>
      <c r="F274" s="19"/>
      <c r="G274" s="19"/>
      <c r="H274" s="19"/>
    </row>
    <row r="275" spans="1:8" x14ac:dyDescent="0.25">
      <c r="A275" s="15"/>
      <c r="B275" s="19"/>
      <c r="C275" s="19"/>
      <c r="D275" s="19"/>
      <c r="E275" s="19"/>
      <c r="F275" s="19"/>
      <c r="G275" s="19"/>
      <c r="H275" s="19"/>
    </row>
    <row r="276" spans="1:8" x14ac:dyDescent="0.25">
      <c r="A276" s="15"/>
      <c r="B276" s="19"/>
      <c r="C276" s="19"/>
      <c r="D276" s="19"/>
      <c r="E276" s="19"/>
      <c r="F276" s="19"/>
      <c r="G276" s="19"/>
      <c r="H276" s="19"/>
    </row>
    <row r="277" spans="1:8" x14ac:dyDescent="0.25">
      <c r="A277" s="15"/>
      <c r="B277" s="19"/>
      <c r="C277" s="19"/>
      <c r="D277" s="19"/>
      <c r="E277" s="19"/>
      <c r="F277" s="19"/>
      <c r="G277" s="19"/>
      <c r="H277" s="19"/>
    </row>
    <row r="278" spans="1:8" x14ac:dyDescent="0.25">
      <c r="A278" s="15"/>
      <c r="B278" s="19"/>
      <c r="C278" s="19"/>
      <c r="D278" s="19"/>
      <c r="E278" s="19"/>
      <c r="F278" s="19"/>
      <c r="G278" s="19"/>
      <c r="H278" s="19"/>
    </row>
    <row r="279" spans="1:8" x14ac:dyDescent="0.25">
      <c r="A279" s="15"/>
      <c r="B279" s="19"/>
      <c r="C279" s="19"/>
      <c r="D279" s="19"/>
      <c r="E279" s="19"/>
      <c r="F279" s="19"/>
      <c r="G279" s="19"/>
      <c r="H279" s="19"/>
    </row>
    <row r="280" spans="1:8" x14ac:dyDescent="0.25">
      <c r="A280" s="15"/>
      <c r="B280" s="19"/>
      <c r="C280" s="19"/>
      <c r="D280" s="19"/>
      <c r="E280" s="19"/>
      <c r="F280" s="19"/>
      <c r="G280" s="19"/>
      <c r="H280" s="19"/>
    </row>
    <row r="281" spans="1:8" x14ac:dyDescent="0.25">
      <c r="A281" s="15"/>
      <c r="B281" s="19"/>
      <c r="C281" s="19"/>
      <c r="D281" s="19"/>
      <c r="E281" s="19"/>
      <c r="F281" s="19"/>
      <c r="G281" s="19"/>
      <c r="H281" s="19"/>
    </row>
    <row r="282" spans="1:8" x14ac:dyDescent="0.25">
      <c r="A282" s="15"/>
      <c r="B282" s="19"/>
      <c r="C282" s="19"/>
      <c r="D282" s="19"/>
      <c r="E282" s="19"/>
      <c r="F282" s="19"/>
      <c r="G282" s="19"/>
      <c r="H282" s="19"/>
    </row>
    <row r="283" spans="1:8" x14ac:dyDescent="0.25">
      <c r="A283" s="15"/>
      <c r="B283" s="19"/>
      <c r="C283" s="19"/>
      <c r="D283" s="19"/>
      <c r="E283" s="19"/>
      <c r="F283" s="19"/>
      <c r="G283" s="19"/>
      <c r="H283" s="19"/>
    </row>
    <row r="284" spans="1:8" x14ac:dyDescent="0.25">
      <c r="A284" s="15"/>
      <c r="B284" s="19"/>
      <c r="C284" s="19"/>
      <c r="D284" s="19"/>
      <c r="E284" s="19"/>
      <c r="F284" s="19"/>
      <c r="G284" s="19"/>
      <c r="H284" s="19"/>
    </row>
    <row r="285" spans="1:8" x14ac:dyDescent="0.25">
      <c r="A285" s="15"/>
      <c r="B285" s="19"/>
      <c r="C285" s="19"/>
      <c r="D285" s="19"/>
      <c r="E285" s="19"/>
      <c r="F285" s="19"/>
      <c r="G285" s="19"/>
      <c r="H285" s="19"/>
    </row>
    <row r="286" spans="1:8" x14ac:dyDescent="0.25">
      <c r="A286" s="15"/>
      <c r="B286" s="19"/>
      <c r="C286" s="19"/>
      <c r="D286" s="19"/>
      <c r="E286" s="19"/>
      <c r="F286" s="19"/>
      <c r="G286" s="19"/>
      <c r="H286" s="19"/>
    </row>
    <row r="287" spans="1:8" x14ac:dyDescent="0.25">
      <c r="A287" s="15"/>
      <c r="B287" s="19"/>
      <c r="C287" s="19"/>
      <c r="D287" s="19"/>
      <c r="E287" s="19"/>
      <c r="F287" s="19"/>
      <c r="G287" s="19"/>
      <c r="H287" s="19"/>
    </row>
    <row r="288" spans="1:8" x14ac:dyDescent="0.25">
      <c r="A288" s="15"/>
      <c r="B288" s="19"/>
      <c r="C288" s="19"/>
      <c r="D288" s="19"/>
      <c r="E288" s="19"/>
      <c r="F288" s="19"/>
      <c r="G288" s="19"/>
      <c r="H288" s="19"/>
    </row>
    <row r="289" spans="1:8" x14ac:dyDescent="0.25">
      <c r="A289" s="15"/>
      <c r="B289" s="19"/>
      <c r="C289" s="19"/>
      <c r="D289" s="19"/>
      <c r="E289" s="19"/>
      <c r="F289" s="19"/>
      <c r="G289" s="19"/>
      <c r="H289" s="19"/>
    </row>
    <row r="290" spans="1:8" x14ac:dyDescent="0.25">
      <c r="A290" s="15"/>
      <c r="B290" s="19"/>
      <c r="C290" s="19"/>
      <c r="D290" s="19"/>
      <c r="E290" s="19"/>
      <c r="F290" s="19"/>
      <c r="G290" s="19"/>
      <c r="H290" s="19"/>
    </row>
    <row r="291" spans="1:8" x14ac:dyDescent="0.25">
      <c r="A291" s="15"/>
      <c r="B291" s="19"/>
      <c r="C291" s="19"/>
      <c r="D291" s="19"/>
      <c r="E291" s="19"/>
      <c r="F291" s="19"/>
      <c r="G291" s="19"/>
      <c r="H291" s="19"/>
    </row>
    <row r="292" spans="1:8" x14ac:dyDescent="0.25">
      <c r="A292" s="15"/>
      <c r="B292" s="19"/>
      <c r="C292" s="19"/>
      <c r="D292" s="19"/>
      <c r="E292" s="19"/>
      <c r="F292" s="19"/>
      <c r="G292" s="19"/>
      <c r="H292" s="19"/>
    </row>
    <row r="293" spans="1:8" x14ac:dyDescent="0.25">
      <c r="A293" s="15"/>
      <c r="B293" s="19"/>
      <c r="C293" s="19"/>
      <c r="D293" s="19"/>
      <c r="E293" s="19"/>
      <c r="F293" s="19"/>
      <c r="G293" s="19"/>
      <c r="H293" s="19"/>
    </row>
    <row r="294" spans="1:8" x14ac:dyDescent="0.25">
      <c r="A294" s="15"/>
      <c r="B294" s="19"/>
      <c r="C294" s="19"/>
      <c r="D294" s="19"/>
      <c r="E294" s="19"/>
      <c r="F294" s="19"/>
      <c r="G294" s="19"/>
      <c r="H294" s="19"/>
    </row>
    <row r="295" spans="1:8" x14ac:dyDescent="0.25">
      <c r="A295" s="15"/>
      <c r="B295" s="19"/>
      <c r="C295" s="19"/>
      <c r="D295" s="19"/>
      <c r="E295" s="19"/>
      <c r="F295" s="19"/>
      <c r="G295" s="19"/>
      <c r="H295" s="19"/>
    </row>
    <row r="296" spans="1:8" x14ac:dyDescent="0.25">
      <c r="A296" s="15"/>
      <c r="B296" s="19"/>
      <c r="C296" s="19"/>
      <c r="D296" s="19"/>
      <c r="E296" s="19"/>
      <c r="F296" s="19"/>
      <c r="G296" s="19"/>
      <c r="H296" s="19"/>
    </row>
    <row r="297" spans="1:8" x14ac:dyDescent="0.25">
      <c r="A297" s="15"/>
      <c r="B297" s="19"/>
      <c r="C297" s="19"/>
      <c r="D297" s="19"/>
      <c r="E297" s="19"/>
      <c r="F297" s="19"/>
      <c r="G297" s="19"/>
      <c r="H297" s="19"/>
    </row>
    <row r="298" spans="1:8" x14ac:dyDescent="0.25">
      <c r="A298" s="15"/>
      <c r="B298" s="19"/>
      <c r="C298" s="19"/>
      <c r="D298" s="19"/>
      <c r="E298" s="19"/>
      <c r="F298" s="19"/>
      <c r="G298" s="19"/>
      <c r="H298" s="19"/>
    </row>
    <row r="299" spans="1:8" x14ac:dyDescent="0.25">
      <c r="A299" s="15"/>
      <c r="B299" s="19"/>
      <c r="C299" s="19"/>
      <c r="D299" s="19"/>
      <c r="E299" s="19"/>
      <c r="F299" s="19"/>
      <c r="G299" s="19"/>
      <c r="H299" s="19"/>
    </row>
    <row r="300" spans="1:8" x14ac:dyDescent="0.25">
      <c r="A300" s="15"/>
      <c r="B300" s="19"/>
      <c r="C300" s="19"/>
      <c r="D300" s="19"/>
      <c r="E300" s="19"/>
      <c r="F300" s="19"/>
      <c r="G300" s="19"/>
      <c r="H300" s="19"/>
    </row>
    <row r="301" spans="1:8" x14ac:dyDescent="0.25">
      <c r="A301" s="15"/>
      <c r="B301" s="19"/>
      <c r="C301" s="19"/>
      <c r="D301" s="19"/>
      <c r="E301" s="19"/>
      <c r="F301" s="19"/>
      <c r="G301" s="19"/>
      <c r="H301" s="19"/>
    </row>
    <row r="302" spans="1:8" x14ac:dyDescent="0.25">
      <c r="A302" s="15"/>
      <c r="B302" s="19"/>
      <c r="C302" s="19"/>
      <c r="D302" s="19"/>
      <c r="E302" s="19"/>
      <c r="F302" s="19"/>
      <c r="G302" s="19"/>
      <c r="H302" s="19"/>
    </row>
    <row r="303" spans="1:8" x14ac:dyDescent="0.25">
      <c r="A303" s="15"/>
      <c r="B303" s="19"/>
      <c r="C303" s="19"/>
      <c r="D303" s="19"/>
      <c r="E303" s="19"/>
      <c r="F303" s="19"/>
      <c r="G303" s="19"/>
      <c r="H303" s="19"/>
    </row>
    <row r="304" spans="1:8" x14ac:dyDescent="0.25">
      <c r="A304" s="15"/>
      <c r="B304" s="19"/>
      <c r="C304" s="19"/>
      <c r="D304" s="19"/>
      <c r="E304" s="19"/>
      <c r="F304" s="19"/>
      <c r="G304" s="19"/>
      <c r="H304" s="19"/>
    </row>
    <row r="305" spans="1:8" x14ac:dyDescent="0.25">
      <c r="A305" s="15"/>
      <c r="B305" s="19"/>
      <c r="C305" s="19"/>
      <c r="D305" s="19"/>
      <c r="E305" s="19"/>
      <c r="F305" s="19"/>
      <c r="G305" s="19"/>
      <c r="H305" s="19"/>
    </row>
    <row r="306" spans="1:8" x14ac:dyDescent="0.25">
      <c r="A306" s="15"/>
      <c r="B306" s="19"/>
      <c r="C306" s="19"/>
      <c r="D306" s="19"/>
      <c r="E306" s="19"/>
      <c r="F306" s="19"/>
      <c r="G306" s="19"/>
      <c r="H306" s="19"/>
    </row>
    <row r="307" spans="1:8" x14ac:dyDescent="0.25">
      <c r="A307" s="15"/>
      <c r="B307" s="19"/>
      <c r="C307" s="19"/>
      <c r="D307" s="19"/>
      <c r="E307" s="19"/>
      <c r="F307" s="19"/>
      <c r="G307" s="19"/>
      <c r="H307" s="19"/>
    </row>
    <row r="308" spans="1:8" x14ac:dyDescent="0.25">
      <c r="A308" s="15"/>
      <c r="B308" s="19"/>
      <c r="C308" s="19"/>
      <c r="D308" s="19"/>
      <c r="E308" s="19"/>
      <c r="F308" s="19"/>
      <c r="G308" s="19"/>
      <c r="H308" s="19"/>
    </row>
    <row r="309" spans="1:8" x14ac:dyDescent="0.25">
      <c r="A309" s="15"/>
      <c r="B309" s="19"/>
      <c r="C309" s="19"/>
      <c r="D309" s="19"/>
      <c r="E309" s="19"/>
      <c r="F309" s="19"/>
      <c r="G309" s="19"/>
      <c r="H309" s="19"/>
    </row>
    <row r="310" spans="1:8" x14ac:dyDescent="0.25">
      <c r="A310" s="15"/>
      <c r="B310" s="19"/>
      <c r="C310" s="19"/>
      <c r="D310" s="19"/>
      <c r="E310" s="19"/>
      <c r="F310" s="19"/>
      <c r="G310" s="19"/>
      <c r="H310" s="19"/>
    </row>
    <row r="311" spans="1:8" x14ac:dyDescent="0.25">
      <c r="A311" s="15"/>
      <c r="B311" s="19"/>
      <c r="C311" s="19"/>
      <c r="D311" s="19"/>
      <c r="E311" s="19"/>
      <c r="F311" s="19"/>
      <c r="G311" s="19"/>
      <c r="H311" s="19"/>
    </row>
    <row r="312" spans="1:8" x14ac:dyDescent="0.25">
      <c r="A312" s="15"/>
      <c r="B312" s="19"/>
      <c r="C312" s="19"/>
      <c r="D312" s="19"/>
      <c r="E312" s="19"/>
      <c r="F312" s="19"/>
      <c r="G312" s="19"/>
      <c r="H312" s="19"/>
    </row>
    <row r="313" spans="1:8" x14ac:dyDescent="0.25">
      <c r="A313" s="15"/>
      <c r="B313" s="19"/>
      <c r="C313" s="19"/>
      <c r="D313" s="19"/>
      <c r="E313" s="19"/>
      <c r="F313" s="19"/>
      <c r="G313" s="19"/>
      <c r="H313" s="19"/>
    </row>
    <row r="314" spans="1:8" x14ac:dyDescent="0.25">
      <c r="A314" s="15"/>
      <c r="B314" s="19"/>
      <c r="C314" s="19"/>
      <c r="D314" s="19"/>
      <c r="E314" s="19"/>
      <c r="F314" s="19"/>
      <c r="G314" s="19"/>
      <c r="H314" s="19"/>
    </row>
    <row r="315" spans="1:8" x14ac:dyDescent="0.25">
      <c r="A315" s="15"/>
      <c r="B315" s="19"/>
      <c r="C315" s="19"/>
      <c r="D315" s="19"/>
      <c r="E315" s="19"/>
      <c r="F315" s="19"/>
      <c r="G315" s="19"/>
      <c r="H315" s="19"/>
    </row>
    <row r="316" spans="1:8" x14ac:dyDescent="0.25">
      <c r="A316" s="15"/>
      <c r="B316" s="19"/>
      <c r="C316" s="19"/>
      <c r="D316" s="19"/>
      <c r="E316" s="19"/>
      <c r="F316" s="19"/>
      <c r="G316" s="19"/>
      <c r="H316" s="19"/>
    </row>
    <row r="317" spans="1:8" x14ac:dyDescent="0.25">
      <c r="A317" s="15"/>
      <c r="B317" s="19"/>
      <c r="C317" s="19"/>
      <c r="D317" s="19"/>
      <c r="E317" s="19"/>
      <c r="F317" s="19"/>
      <c r="G317" s="19"/>
      <c r="H317" s="19"/>
    </row>
    <row r="318" spans="1:8" x14ac:dyDescent="0.25">
      <c r="A318" s="15"/>
      <c r="B318" s="19"/>
      <c r="C318" s="19"/>
      <c r="D318" s="19"/>
      <c r="E318" s="19"/>
      <c r="F318" s="19"/>
      <c r="G318" s="19"/>
      <c r="H318" s="19"/>
    </row>
    <row r="319" spans="1:8" x14ac:dyDescent="0.25">
      <c r="A319" s="15"/>
      <c r="B319" s="19"/>
      <c r="C319" s="19"/>
      <c r="D319" s="19"/>
      <c r="E319" s="19"/>
      <c r="F319" s="19"/>
      <c r="G319" s="19"/>
      <c r="H319" s="19"/>
    </row>
    <row r="320" spans="1:8" x14ac:dyDescent="0.25">
      <c r="A320" s="15"/>
      <c r="B320" s="19"/>
      <c r="C320" s="19"/>
      <c r="D320" s="19"/>
      <c r="E320" s="19"/>
      <c r="F320" s="19"/>
      <c r="G320" s="19"/>
      <c r="H320" s="19"/>
    </row>
    <row r="321" spans="1:8" x14ac:dyDescent="0.25">
      <c r="A321" s="15"/>
      <c r="B321" s="19"/>
      <c r="C321" s="19"/>
      <c r="D321" s="19"/>
      <c r="E321" s="19"/>
      <c r="F321" s="19"/>
      <c r="G321" s="19"/>
      <c r="H321" s="19"/>
    </row>
    <row r="322" spans="1:8" x14ac:dyDescent="0.25">
      <c r="A322" s="15"/>
      <c r="B322" s="19"/>
      <c r="C322" s="19"/>
      <c r="D322" s="19"/>
      <c r="E322" s="19"/>
      <c r="F322" s="19"/>
      <c r="G322" s="19"/>
      <c r="H322" s="19"/>
    </row>
    <row r="323" spans="1:8" x14ac:dyDescent="0.25">
      <c r="A323" s="15"/>
      <c r="B323" s="19"/>
      <c r="C323" s="19"/>
      <c r="D323" s="19"/>
      <c r="E323" s="19"/>
      <c r="F323" s="19"/>
      <c r="G323" s="19"/>
      <c r="H323" s="19"/>
    </row>
    <row r="324" spans="1:8" x14ac:dyDescent="0.25">
      <c r="A324" s="15"/>
      <c r="B324" s="19"/>
      <c r="C324" s="19"/>
      <c r="D324" s="19"/>
      <c r="E324" s="19"/>
      <c r="F324" s="19"/>
      <c r="G324" s="19"/>
      <c r="H324" s="19"/>
    </row>
    <row r="325" spans="1:8" x14ac:dyDescent="0.25">
      <c r="A325" s="15"/>
      <c r="B325" s="19"/>
      <c r="C325" s="19"/>
      <c r="D325" s="19"/>
      <c r="E325" s="19"/>
      <c r="F325" s="19"/>
      <c r="G325" s="19"/>
      <c r="H325" s="19"/>
    </row>
    <row r="326" spans="1:8" x14ac:dyDescent="0.25">
      <c r="A326" s="15"/>
      <c r="B326" s="19"/>
      <c r="C326" s="19"/>
      <c r="D326" s="19"/>
      <c r="E326" s="19"/>
      <c r="F326" s="19"/>
      <c r="G326" s="19"/>
      <c r="H326" s="19"/>
    </row>
    <row r="327" spans="1:8" x14ac:dyDescent="0.25">
      <c r="A327" s="15"/>
      <c r="B327" s="19"/>
      <c r="C327" s="19"/>
      <c r="D327" s="19"/>
      <c r="E327" s="19"/>
      <c r="F327" s="19"/>
      <c r="G327" s="19"/>
      <c r="H327" s="19"/>
    </row>
    <row r="328" spans="1:8" x14ac:dyDescent="0.25">
      <c r="A328" s="15"/>
      <c r="B328" s="19"/>
      <c r="C328" s="19"/>
      <c r="D328" s="19"/>
      <c r="E328" s="19"/>
      <c r="F328" s="19"/>
      <c r="G328" s="19"/>
      <c r="H328" s="19"/>
    </row>
    <row r="329" spans="1:8" x14ac:dyDescent="0.25">
      <c r="A329" s="15"/>
      <c r="B329" s="19"/>
      <c r="C329" s="19"/>
      <c r="D329" s="19"/>
      <c r="E329" s="19"/>
      <c r="F329" s="19"/>
      <c r="G329" s="19"/>
      <c r="H329" s="19"/>
    </row>
    <row r="330" spans="1:8" x14ac:dyDescent="0.25">
      <c r="A330" s="15"/>
      <c r="B330" s="19"/>
      <c r="C330" s="19"/>
      <c r="D330" s="19"/>
      <c r="E330" s="19"/>
      <c r="F330" s="19"/>
      <c r="G330" s="19"/>
      <c r="H330" s="19"/>
    </row>
    <row r="331" spans="1:8" x14ac:dyDescent="0.25">
      <c r="A331" s="15"/>
      <c r="B331" s="19"/>
      <c r="C331" s="19"/>
      <c r="D331" s="19"/>
      <c r="E331" s="19"/>
      <c r="F331" s="19"/>
      <c r="G331" s="19"/>
      <c r="H331" s="19"/>
    </row>
    <row r="332" spans="1:8" x14ac:dyDescent="0.25">
      <c r="A332" s="15"/>
      <c r="B332" s="19"/>
      <c r="C332" s="19"/>
      <c r="D332" s="19"/>
      <c r="E332" s="19"/>
      <c r="F332" s="19"/>
      <c r="G332" s="19"/>
      <c r="H332" s="19"/>
    </row>
    <row r="333" spans="1:8" x14ac:dyDescent="0.25">
      <c r="A333" s="15"/>
      <c r="B333" s="19"/>
      <c r="C333" s="19"/>
      <c r="D333" s="19"/>
      <c r="E333" s="19"/>
      <c r="F333" s="19"/>
      <c r="G333" s="19"/>
      <c r="H333" s="19"/>
    </row>
    <row r="334" spans="1:8" x14ac:dyDescent="0.25">
      <c r="A334" s="15"/>
      <c r="B334" s="19"/>
      <c r="C334" s="19"/>
      <c r="D334" s="19"/>
      <c r="E334" s="19"/>
      <c r="F334" s="19"/>
      <c r="G334" s="19"/>
      <c r="H334" s="19"/>
    </row>
    <row r="335" spans="1:8" x14ac:dyDescent="0.25">
      <c r="A335" s="15"/>
      <c r="B335" s="19"/>
      <c r="C335" s="19"/>
      <c r="D335" s="19"/>
      <c r="E335" s="19"/>
      <c r="F335" s="19"/>
      <c r="G335" s="19"/>
      <c r="H335" s="19"/>
    </row>
    <row r="336" spans="1:8" x14ac:dyDescent="0.25">
      <c r="A336" s="15"/>
      <c r="B336" s="19"/>
      <c r="C336" s="19"/>
      <c r="D336" s="19"/>
      <c r="E336" s="19"/>
      <c r="F336" s="19"/>
      <c r="G336" s="19"/>
      <c r="H336" s="19"/>
    </row>
    <row r="337" spans="1:8" x14ac:dyDescent="0.25">
      <c r="A337" s="15"/>
      <c r="B337" s="19"/>
      <c r="C337" s="19"/>
      <c r="D337" s="19"/>
      <c r="E337" s="19"/>
      <c r="F337" s="19"/>
      <c r="G337" s="19"/>
      <c r="H337" s="19"/>
    </row>
    <row r="338" spans="1:8" x14ac:dyDescent="0.25">
      <c r="A338" s="15"/>
      <c r="B338" s="19"/>
      <c r="C338" s="19"/>
      <c r="D338" s="19"/>
      <c r="E338" s="19"/>
      <c r="F338" s="19"/>
      <c r="G338" s="19"/>
      <c r="H338" s="19"/>
    </row>
    <row r="339" spans="1:8" x14ac:dyDescent="0.25">
      <c r="A339" s="15"/>
      <c r="B339" s="19"/>
      <c r="C339" s="19"/>
      <c r="D339" s="19"/>
      <c r="E339" s="19"/>
      <c r="F339" s="19"/>
      <c r="G339" s="19"/>
      <c r="H339" s="19"/>
    </row>
    <row r="340" spans="1:8" x14ac:dyDescent="0.25">
      <c r="A340" s="15"/>
      <c r="B340" s="19"/>
      <c r="C340" s="19"/>
      <c r="D340" s="19"/>
      <c r="E340" s="19"/>
      <c r="F340" s="19"/>
      <c r="G340" s="19"/>
      <c r="H340" s="19"/>
    </row>
    <row r="341" spans="1:8" x14ac:dyDescent="0.25">
      <c r="A341" s="15"/>
      <c r="B341" s="19"/>
      <c r="C341" s="19"/>
      <c r="D341" s="19"/>
      <c r="E341" s="19"/>
      <c r="F341" s="19"/>
      <c r="G341" s="19"/>
      <c r="H341" s="19"/>
    </row>
    <row r="342" spans="1:8" x14ac:dyDescent="0.25">
      <c r="A342" s="15"/>
      <c r="B342" s="19"/>
      <c r="C342" s="19"/>
      <c r="D342" s="19"/>
      <c r="E342" s="19"/>
      <c r="F342" s="19"/>
      <c r="G342" s="19"/>
      <c r="H342" s="19"/>
    </row>
    <row r="343" spans="1:8" x14ac:dyDescent="0.25">
      <c r="A343" s="15"/>
      <c r="B343" s="19"/>
      <c r="C343" s="19"/>
      <c r="D343" s="19"/>
      <c r="E343" s="19"/>
      <c r="F343" s="19"/>
      <c r="G343" s="19"/>
      <c r="H343" s="19"/>
    </row>
    <row r="344" spans="1:8" x14ac:dyDescent="0.25">
      <c r="A344" s="15"/>
      <c r="B344" s="19"/>
      <c r="C344" s="19"/>
      <c r="D344" s="19"/>
      <c r="E344" s="19"/>
      <c r="F344" s="19"/>
      <c r="G344" s="19"/>
      <c r="H344" s="19"/>
    </row>
    <row r="345" spans="1:8" x14ac:dyDescent="0.25">
      <c r="A345" s="15"/>
      <c r="B345" s="19"/>
      <c r="C345" s="19"/>
      <c r="D345" s="19"/>
      <c r="E345" s="19"/>
      <c r="F345" s="19"/>
      <c r="G345" s="19"/>
      <c r="H345" s="19"/>
    </row>
    <row r="346" spans="1:8" x14ac:dyDescent="0.25">
      <c r="A346" s="15"/>
      <c r="B346" s="19"/>
      <c r="C346" s="19"/>
      <c r="D346" s="19"/>
      <c r="E346" s="19"/>
      <c r="F346" s="19"/>
      <c r="G346" s="19"/>
      <c r="H346" s="19"/>
    </row>
    <row r="347" spans="1:8" x14ac:dyDescent="0.25">
      <c r="A347" s="15"/>
      <c r="B347" s="19"/>
      <c r="C347" s="19"/>
      <c r="D347" s="19"/>
      <c r="E347" s="19"/>
      <c r="F347" s="19"/>
      <c r="G347" s="19"/>
      <c r="H347" s="19"/>
    </row>
    <row r="348" spans="1:8" x14ac:dyDescent="0.25">
      <c r="A348" s="15"/>
      <c r="B348" s="19"/>
      <c r="C348" s="19"/>
      <c r="D348" s="19"/>
      <c r="E348" s="19"/>
      <c r="F348" s="19"/>
      <c r="G348" s="19"/>
      <c r="H348" s="19"/>
    </row>
    <row r="349" spans="1:8" x14ac:dyDescent="0.25">
      <c r="A349" s="15"/>
      <c r="B349" s="19"/>
      <c r="C349" s="19"/>
      <c r="D349" s="19"/>
      <c r="E349" s="19"/>
      <c r="F349" s="19"/>
      <c r="G349" s="19"/>
      <c r="H349" s="19"/>
    </row>
    <row r="350" spans="1:8" x14ac:dyDescent="0.25">
      <c r="A350" s="15"/>
      <c r="B350" s="19"/>
      <c r="C350" s="19"/>
      <c r="D350" s="19"/>
      <c r="E350" s="19"/>
      <c r="F350" s="19"/>
      <c r="G350" s="19"/>
      <c r="H350" s="19"/>
    </row>
    <row r="351" spans="1:8" x14ac:dyDescent="0.25">
      <c r="A351" s="15"/>
      <c r="B351" s="19"/>
      <c r="C351" s="19"/>
      <c r="D351" s="19"/>
      <c r="E351" s="19"/>
      <c r="F351" s="19"/>
      <c r="G351" s="19"/>
      <c r="H351" s="19"/>
    </row>
    <row r="352" spans="1:8" x14ac:dyDescent="0.25">
      <c r="A352" s="15"/>
      <c r="B352" s="19"/>
      <c r="C352" s="19"/>
      <c r="D352" s="19"/>
      <c r="E352" s="19"/>
      <c r="F352" s="19"/>
      <c r="G352" s="19"/>
      <c r="H352" s="19"/>
    </row>
    <row r="353" spans="1:8" x14ac:dyDescent="0.25">
      <c r="A353" s="15"/>
      <c r="B353" s="19"/>
      <c r="C353" s="19"/>
      <c r="D353" s="19"/>
      <c r="E353" s="19"/>
      <c r="F353" s="19"/>
      <c r="G353" s="19"/>
      <c r="H353" s="19"/>
    </row>
    <row r="354" spans="1:8" x14ac:dyDescent="0.25">
      <c r="A354" s="15"/>
      <c r="B354" s="19"/>
      <c r="C354" s="19"/>
      <c r="D354" s="19"/>
      <c r="E354" s="19"/>
      <c r="F354" s="19"/>
      <c r="G354" s="19"/>
      <c r="H354" s="19"/>
    </row>
    <row r="355" spans="1:8" x14ac:dyDescent="0.25">
      <c r="A355" s="15"/>
      <c r="B355" s="19"/>
      <c r="C355" s="19"/>
      <c r="D355" s="19"/>
      <c r="E355" s="19"/>
      <c r="F355" s="19"/>
      <c r="G355" s="19"/>
      <c r="H355" s="19"/>
    </row>
    <row r="356" spans="1:8" x14ac:dyDescent="0.25">
      <c r="A356" s="15"/>
      <c r="B356" s="19"/>
      <c r="C356" s="19"/>
      <c r="D356" s="19"/>
      <c r="E356" s="19"/>
      <c r="F356" s="19"/>
      <c r="G356" s="19"/>
      <c r="H356" s="19"/>
    </row>
    <row r="357" spans="1:8" x14ac:dyDescent="0.25">
      <c r="A357" s="15"/>
      <c r="B357" s="19"/>
      <c r="C357" s="19"/>
      <c r="D357" s="19"/>
      <c r="E357" s="19"/>
      <c r="F357" s="19"/>
      <c r="G357" s="19"/>
      <c r="H357" s="19"/>
    </row>
    <row r="358" spans="1:8" x14ac:dyDescent="0.25">
      <c r="A358" s="15"/>
      <c r="B358" s="19"/>
      <c r="C358" s="19"/>
      <c r="D358" s="19"/>
      <c r="E358" s="19"/>
      <c r="F358" s="19"/>
      <c r="G358" s="19"/>
      <c r="H358" s="19"/>
    </row>
    <row r="359" spans="1:8" x14ac:dyDescent="0.25">
      <c r="A359" s="15"/>
      <c r="B359" s="19"/>
      <c r="C359" s="19"/>
      <c r="D359" s="19"/>
      <c r="E359" s="19"/>
      <c r="F359" s="19"/>
      <c r="G359" s="19"/>
      <c r="H359" s="19"/>
    </row>
    <row r="360" spans="1:8" x14ac:dyDescent="0.25">
      <c r="A360" s="15"/>
      <c r="B360" s="19"/>
      <c r="C360" s="19"/>
      <c r="D360" s="19"/>
      <c r="E360" s="19"/>
      <c r="F360" s="19"/>
      <c r="G360" s="19"/>
      <c r="H360" s="19"/>
    </row>
    <row r="361" spans="1:8" x14ac:dyDescent="0.25">
      <c r="A361" s="15"/>
      <c r="B361" s="19"/>
      <c r="C361" s="19"/>
      <c r="D361" s="19"/>
      <c r="E361" s="19"/>
      <c r="F361" s="19"/>
      <c r="G361" s="19"/>
      <c r="H361" s="19"/>
    </row>
    <row r="362" spans="1:8" x14ac:dyDescent="0.25">
      <c r="A362" s="15"/>
      <c r="B362" s="19"/>
      <c r="C362" s="19"/>
      <c r="D362" s="19"/>
      <c r="E362" s="19"/>
      <c r="F362" s="19"/>
      <c r="G362" s="19"/>
      <c r="H362" s="19"/>
    </row>
    <row r="363" spans="1:8" x14ac:dyDescent="0.25">
      <c r="A363" s="15"/>
      <c r="B363" s="19"/>
      <c r="C363" s="19"/>
      <c r="D363" s="19"/>
      <c r="E363" s="19"/>
      <c r="F363" s="19"/>
      <c r="G363" s="19"/>
      <c r="H363" s="19"/>
    </row>
    <row r="364" spans="1:8" x14ac:dyDescent="0.25">
      <c r="A364" s="15"/>
      <c r="B364" s="19"/>
      <c r="C364" s="19"/>
      <c r="D364" s="19"/>
      <c r="E364" s="19"/>
      <c r="F364" s="19"/>
      <c r="G364" s="19"/>
      <c r="H364" s="19"/>
    </row>
    <row r="365" spans="1:8" x14ac:dyDescent="0.25">
      <c r="A365" s="15"/>
      <c r="B365" s="19"/>
      <c r="C365" s="19"/>
      <c r="D365" s="19"/>
      <c r="E365" s="19"/>
      <c r="F365" s="19"/>
      <c r="G365" s="19"/>
      <c r="H365" s="19"/>
    </row>
    <row r="366" spans="1:8" x14ac:dyDescent="0.25">
      <c r="A366" s="15"/>
      <c r="B366" s="19"/>
      <c r="C366" s="19"/>
      <c r="D366" s="19"/>
      <c r="E366" s="19"/>
      <c r="F366" s="19"/>
      <c r="G366" s="19"/>
      <c r="H366" s="19"/>
    </row>
    <row r="367" spans="1:8" x14ac:dyDescent="0.25">
      <c r="A367" s="15"/>
      <c r="B367" s="19"/>
      <c r="C367" s="19"/>
      <c r="D367" s="19"/>
      <c r="E367" s="19"/>
      <c r="F367" s="19"/>
      <c r="G367" s="19"/>
      <c r="H367" s="19"/>
    </row>
    <row r="368" spans="1:8" x14ac:dyDescent="0.25">
      <c r="A368" s="15"/>
      <c r="B368" s="19"/>
      <c r="C368" s="19"/>
      <c r="D368" s="19"/>
      <c r="E368" s="19"/>
      <c r="F368" s="19"/>
      <c r="G368" s="19"/>
      <c r="H368" s="19"/>
    </row>
    <row r="369" spans="1:8" x14ac:dyDescent="0.25">
      <c r="A369" s="15"/>
      <c r="B369" s="19"/>
      <c r="C369" s="19"/>
      <c r="D369" s="19"/>
      <c r="E369" s="19"/>
      <c r="F369" s="19"/>
      <c r="G369" s="19"/>
      <c r="H369" s="19"/>
    </row>
    <row r="370" spans="1:8" x14ac:dyDescent="0.25">
      <c r="A370" s="15"/>
      <c r="B370" s="19"/>
      <c r="C370" s="19"/>
      <c r="D370" s="19"/>
      <c r="E370" s="19"/>
      <c r="F370" s="19"/>
      <c r="G370" s="19"/>
      <c r="H370" s="19"/>
    </row>
    <row r="371" spans="1:8" x14ac:dyDescent="0.25">
      <c r="A371" s="15"/>
      <c r="B371" s="19"/>
      <c r="C371" s="19"/>
      <c r="D371" s="19"/>
      <c r="E371" s="19"/>
      <c r="F371" s="19"/>
      <c r="G371" s="19"/>
      <c r="H371" s="19"/>
    </row>
    <row r="372" spans="1:8" x14ac:dyDescent="0.25">
      <c r="A372" s="15"/>
      <c r="B372" s="19"/>
      <c r="C372" s="19"/>
      <c r="D372" s="19"/>
      <c r="E372" s="19"/>
      <c r="F372" s="19"/>
      <c r="G372" s="19"/>
      <c r="H372" s="19"/>
    </row>
    <row r="373" spans="1:8" x14ac:dyDescent="0.25">
      <c r="A373" s="15"/>
      <c r="B373" s="19"/>
      <c r="C373" s="19"/>
      <c r="D373" s="19"/>
      <c r="E373" s="19"/>
      <c r="F373" s="19"/>
      <c r="G373" s="19"/>
      <c r="H373" s="19"/>
    </row>
    <row r="374" spans="1:8" x14ac:dyDescent="0.25">
      <c r="A374" s="15"/>
      <c r="B374" s="19"/>
      <c r="C374" s="19"/>
      <c r="D374" s="19"/>
      <c r="E374" s="19"/>
      <c r="F374" s="19"/>
      <c r="G374" s="19"/>
      <c r="H374" s="19"/>
    </row>
    <row r="375" spans="1:8" x14ac:dyDescent="0.25">
      <c r="A375" s="15"/>
      <c r="B375" s="19"/>
      <c r="C375" s="19"/>
      <c r="D375" s="19"/>
      <c r="E375" s="19"/>
      <c r="F375" s="19"/>
      <c r="G375" s="19"/>
      <c r="H375" s="19"/>
    </row>
    <row r="376" spans="1:8" x14ac:dyDescent="0.25">
      <c r="A376" s="15"/>
      <c r="B376" s="19"/>
      <c r="C376" s="19"/>
      <c r="D376" s="19"/>
      <c r="E376" s="19"/>
      <c r="F376" s="19"/>
      <c r="G376" s="19"/>
      <c r="H376" s="19"/>
    </row>
    <row r="377" spans="1:8" x14ac:dyDescent="0.25">
      <c r="A377" s="15"/>
      <c r="B377" s="19"/>
      <c r="C377" s="19"/>
      <c r="D377" s="19"/>
      <c r="E377" s="19"/>
      <c r="F377" s="19"/>
      <c r="G377" s="19"/>
      <c r="H377" s="19"/>
    </row>
    <row r="378" spans="1:8" x14ac:dyDescent="0.25">
      <c r="A378" s="15"/>
      <c r="B378" s="19"/>
      <c r="C378" s="19"/>
      <c r="D378" s="19"/>
      <c r="E378" s="19"/>
      <c r="F378" s="19"/>
      <c r="G378" s="19"/>
      <c r="H378" s="19"/>
    </row>
    <row r="379" spans="1:8" x14ac:dyDescent="0.25">
      <c r="A379" s="15"/>
      <c r="B379" s="19"/>
      <c r="C379" s="19"/>
      <c r="D379" s="19"/>
      <c r="E379" s="19"/>
      <c r="F379" s="19"/>
      <c r="G379" s="19"/>
      <c r="H379" s="19"/>
    </row>
    <row r="380" spans="1:8" x14ac:dyDescent="0.25">
      <c r="A380" s="15"/>
      <c r="B380" s="19"/>
      <c r="C380" s="19"/>
      <c r="D380" s="19"/>
      <c r="E380" s="19"/>
      <c r="F380" s="19"/>
      <c r="G380" s="19"/>
      <c r="H380" s="19"/>
    </row>
    <row r="381" spans="1:8" x14ac:dyDescent="0.25">
      <c r="A381" s="15"/>
      <c r="B381" s="19"/>
      <c r="C381" s="19"/>
      <c r="D381" s="19"/>
      <c r="E381" s="19"/>
      <c r="F381" s="19"/>
      <c r="G381" s="19"/>
      <c r="H381" s="19"/>
    </row>
    <row r="382" spans="1:8" x14ac:dyDescent="0.25">
      <c r="A382" s="15"/>
      <c r="B382" s="19"/>
      <c r="C382" s="19"/>
      <c r="D382" s="19"/>
      <c r="E382" s="19"/>
      <c r="F382" s="19"/>
      <c r="G382" s="19"/>
      <c r="H382" s="19"/>
    </row>
    <row r="383" spans="1:8" x14ac:dyDescent="0.25">
      <c r="A383" s="15"/>
      <c r="B383" s="19"/>
      <c r="C383" s="19"/>
      <c r="D383" s="19"/>
      <c r="E383" s="19"/>
      <c r="F383" s="19"/>
      <c r="G383" s="19"/>
      <c r="H383" s="19"/>
    </row>
    <row r="384" spans="1:8" x14ac:dyDescent="0.25">
      <c r="A384" s="15"/>
      <c r="B384" s="19"/>
      <c r="C384" s="19"/>
      <c r="D384" s="19"/>
      <c r="E384" s="19"/>
      <c r="F384" s="19"/>
      <c r="G384" s="19"/>
      <c r="H384" s="19"/>
    </row>
    <row r="385" spans="1:8" x14ac:dyDescent="0.25">
      <c r="A385" s="15"/>
      <c r="B385" s="19"/>
      <c r="C385" s="19"/>
      <c r="D385" s="19"/>
      <c r="E385" s="19"/>
      <c r="F385" s="19"/>
      <c r="G385" s="19"/>
      <c r="H385" s="19"/>
    </row>
    <row r="386" spans="1:8" x14ac:dyDescent="0.25">
      <c r="A386" s="15"/>
      <c r="B386" s="19"/>
      <c r="C386" s="19"/>
      <c r="D386" s="19"/>
      <c r="E386" s="19"/>
      <c r="F386" s="19"/>
      <c r="G386" s="19"/>
      <c r="H386" s="19"/>
    </row>
    <row r="387" spans="1:8" x14ac:dyDescent="0.25">
      <c r="A387" s="15"/>
      <c r="B387" s="19"/>
      <c r="C387" s="19"/>
      <c r="D387" s="19"/>
      <c r="E387" s="19"/>
      <c r="F387" s="19"/>
      <c r="G387" s="19"/>
      <c r="H387" s="19"/>
    </row>
    <row r="388" spans="1:8" x14ac:dyDescent="0.25">
      <c r="A388" s="15"/>
      <c r="B388" s="19"/>
      <c r="C388" s="19"/>
      <c r="D388" s="19"/>
      <c r="E388" s="19"/>
      <c r="F388" s="19"/>
      <c r="G388" s="19"/>
      <c r="H388" s="19"/>
    </row>
    <row r="389" spans="1:8" x14ac:dyDescent="0.25">
      <c r="A389" s="15"/>
      <c r="B389" s="19"/>
      <c r="C389" s="19"/>
      <c r="D389" s="19"/>
      <c r="E389" s="19"/>
      <c r="F389" s="19"/>
      <c r="G389" s="19"/>
      <c r="H389" s="19"/>
    </row>
    <row r="390" spans="1:8" x14ac:dyDescent="0.25">
      <c r="A390" s="15"/>
      <c r="B390" s="19"/>
      <c r="C390" s="19"/>
      <c r="D390" s="19"/>
      <c r="E390" s="19"/>
      <c r="F390" s="19"/>
      <c r="G390" s="19"/>
      <c r="H390" s="19"/>
    </row>
    <row r="391" spans="1:8" x14ac:dyDescent="0.25">
      <c r="A391" s="15"/>
      <c r="B391" s="19"/>
      <c r="C391" s="19"/>
      <c r="D391" s="19"/>
      <c r="E391" s="19"/>
      <c r="F391" s="19"/>
      <c r="G391" s="19"/>
      <c r="H391" s="19"/>
    </row>
    <row r="392" spans="1:8" x14ac:dyDescent="0.25">
      <c r="A392" s="15"/>
      <c r="B392" s="19"/>
      <c r="C392" s="19"/>
      <c r="D392" s="19"/>
      <c r="E392" s="19"/>
      <c r="F392" s="19"/>
      <c r="G392" s="19"/>
      <c r="H392" s="19"/>
    </row>
    <row r="393" spans="1:8" x14ac:dyDescent="0.25">
      <c r="A393" s="15"/>
      <c r="B393" s="19"/>
      <c r="C393" s="19"/>
      <c r="D393" s="19"/>
      <c r="E393" s="19"/>
      <c r="F393" s="19"/>
      <c r="G393" s="19"/>
      <c r="H393" s="19"/>
    </row>
    <row r="394" spans="1:8" x14ac:dyDescent="0.25">
      <c r="A394" s="15"/>
      <c r="B394" s="19"/>
      <c r="C394" s="19"/>
      <c r="D394" s="19"/>
      <c r="E394" s="19"/>
      <c r="F394" s="19"/>
      <c r="G394" s="19"/>
      <c r="H394" s="19"/>
    </row>
    <row r="395" spans="1:8" x14ac:dyDescent="0.25">
      <c r="A395" s="15"/>
      <c r="B395" s="19"/>
      <c r="C395" s="19"/>
      <c r="D395" s="19"/>
      <c r="E395" s="19"/>
      <c r="F395" s="19"/>
      <c r="G395" s="19"/>
      <c r="H395" s="19"/>
    </row>
    <row r="396" spans="1:8" x14ac:dyDescent="0.25">
      <c r="A396" s="15"/>
      <c r="B396" s="19"/>
      <c r="C396" s="19"/>
      <c r="D396" s="19"/>
      <c r="E396" s="19"/>
      <c r="F396" s="19"/>
      <c r="G396" s="19"/>
      <c r="H396" s="19"/>
    </row>
    <row r="397" spans="1:8" x14ac:dyDescent="0.25">
      <c r="A397" s="15"/>
      <c r="B397" s="19"/>
      <c r="C397" s="19"/>
      <c r="D397" s="19"/>
      <c r="E397" s="19"/>
      <c r="F397" s="19"/>
      <c r="G397" s="19"/>
      <c r="H397" s="19"/>
    </row>
    <row r="398" spans="1:8" x14ac:dyDescent="0.25">
      <c r="A398" s="15"/>
      <c r="B398" s="19"/>
      <c r="C398" s="19"/>
      <c r="D398" s="19"/>
      <c r="E398" s="19"/>
      <c r="F398" s="19"/>
      <c r="G398" s="19"/>
      <c r="H398" s="19"/>
    </row>
    <row r="399" spans="1:8" x14ac:dyDescent="0.25">
      <c r="A399" s="15"/>
      <c r="B399" s="19"/>
      <c r="C399" s="19"/>
      <c r="D399" s="19"/>
      <c r="E399" s="19"/>
      <c r="F399" s="19"/>
      <c r="G399" s="19"/>
      <c r="H399" s="19"/>
    </row>
    <row r="400" spans="1:8" x14ac:dyDescent="0.25">
      <c r="A400" s="15"/>
      <c r="B400" s="19"/>
      <c r="C400" s="19"/>
      <c r="D400" s="19"/>
      <c r="E400" s="19"/>
      <c r="F400" s="19"/>
      <c r="G400" s="19"/>
      <c r="H400" s="19"/>
    </row>
    <row r="401" spans="1:8" x14ac:dyDescent="0.25">
      <c r="A401" s="15"/>
      <c r="B401" s="19"/>
      <c r="C401" s="19"/>
      <c r="D401" s="19"/>
      <c r="E401" s="19"/>
      <c r="F401" s="19"/>
      <c r="G401" s="19"/>
      <c r="H401" s="19"/>
    </row>
    <row r="402" spans="1:8" x14ac:dyDescent="0.25">
      <c r="A402" s="15"/>
      <c r="B402" s="19"/>
      <c r="C402" s="19"/>
      <c r="D402" s="19"/>
      <c r="E402" s="19"/>
      <c r="F402" s="19"/>
      <c r="G402" s="19"/>
      <c r="H402" s="19"/>
    </row>
    <row r="403" spans="1:8" x14ac:dyDescent="0.25">
      <c r="A403" s="15"/>
      <c r="B403" s="19"/>
      <c r="C403" s="19"/>
      <c r="D403" s="19"/>
      <c r="E403" s="19"/>
      <c r="F403" s="19"/>
      <c r="G403" s="19"/>
      <c r="H403" s="19"/>
    </row>
    <row r="404" spans="1:8" x14ac:dyDescent="0.25">
      <c r="A404" s="15"/>
      <c r="B404" s="19"/>
      <c r="C404" s="19"/>
      <c r="D404" s="19"/>
      <c r="E404" s="19"/>
      <c r="F404" s="19"/>
      <c r="G404" s="19"/>
      <c r="H404" s="19"/>
    </row>
    <row r="405" spans="1:8" x14ac:dyDescent="0.25">
      <c r="A405" s="15"/>
      <c r="B405" s="19"/>
      <c r="C405" s="19"/>
      <c r="D405" s="19"/>
      <c r="E405" s="19"/>
      <c r="F405" s="19"/>
      <c r="G405" s="19"/>
      <c r="H405" s="19"/>
    </row>
    <row r="406" spans="1:8" x14ac:dyDescent="0.25">
      <c r="A406" s="15"/>
      <c r="B406" s="19"/>
      <c r="C406" s="19"/>
      <c r="D406" s="19"/>
      <c r="E406" s="19"/>
      <c r="F406" s="19"/>
      <c r="G406" s="19"/>
      <c r="H406" s="19"/>
    </row>
    <row r="407" spans="1:8" x14ac:dyDescent="0.25">
      <c r="A407" s="15"/>
      <c r="B407" s="19"/>
      <c r="C407" s="19"/>
      <c r="D407" s="19"/>
      <c r="E407" s="19"/>
      <c r="F407" s="19"/>
      <c r="G407" s="19"/>
      <c r="H407" s="19"/>
    </row>
    <row r="408" spans="1:8" x14ac:dyDescent="0.25">
      <c r="A408" s="15"/>
      <c r="B408" s="19"/>
      <c r="C408" s="19"/>
      <c r="D408" s="19"/>
      <c r="E408" s="19"/>
      <c r="F408" s="19"/>
      <c r="G408" s="19"/>
      <c r="H408" s="19"/>
    </row>
    <row r="409" spans="1:8" x14ac:dyDescent="0.25">
      <c r="A409" s="15"/>
      <c r="B409" s="19"/>
      <c r="C409" s="19"/>
      <c r="D409" s="19"/>
      <c r="E409" s="19"/>
      <c r="F409" s="19"/>
      <c r="G409" s="19"/>
      <c r="H409" s="19"/>
    </row>
    <row r="410" spans="1:8" x14ac:dyDescent="0.25">
      <c r="A410" s="15"/>
      <c r="B410" s="19"/>
      <c r="C410" s="19"/>
      <c r="D410" s="19"/>
      <c r="E410" s="19"/>
      <c r="F410" s="19"/>
      <c r="G410" s="19"/>
      <c r="H410" s="19"/>
    </row>
    <row r="411" spans="1:8" x14ac:dyDescent="0.25">
      <c r="A411" s="15"/>
      <c r="B411" s="19"/>
      <c r="C411" s="19"/>
      <c r="D411" s="19"/>
      <c r="E411" s="19"/>
      <c r="F411" s="19"/>
      <c r="G411" s="19"/>
      <c r="H411" s="19"/>
    </row>
    <row r="412" spans="1:8" x14ac:dyDescent="0.25">
      <c r="A412" s="15"/>
      <c r="B412" s="19"/>
      <c r="C412" s="19"/>
      <c r="D412" s="19"/>
      <c r="E412" s="19"/>
      <c r="F412" s="19"/>
      <c r="G412" s="19"/>
      <c r="H412" s="19"/>
    </row>
    <row r="413" spans="1:8" x14ac:dyDescent="0.25">
      <c r="A413" s="15"/>
      <c r="B413" s="19"/>
      <c r="C413" s="19"/>
      <c r="D413" s="19"/>
      <c r="E413" s="19"/>
      <c r="F413" s="19"/>
      <c r="G413" s="19"/>
      <c r="H413" s="19"/>
    </row>
    <row r="414" spans="1:8" x14ac:dyDescent="0.25">
      <c r="A414" s="15"/>
      <c r="B414" s="19"/>
      <c r="C414" s="19"/>
      <c r="D414" s="19"/>
      <c r="E414" s="19"/>
      <c r="F414" s="19"/>
      <c r="G414" s="19"/>
      <c r="H414" s="19"/>
    </row>
    <row r="415" spans="1:8" x14ac:dyDescent="0.25">
      <c r="A415" s="15"/>
      <c r="B415" s="19"/>
      <c r="C415" s="19"/>
      <c r="D415" s="19"/>
      <c r="E415" s="19"/>
      <c r="F415" s="19"/>
      <c r="G415" s="19"/>
      <c r="H415" s="19"/>
    </row>
    <row r="416" spans="1:8" x14ac:dyDescent="0.25">
      <c r="A416" s="15"/>
      <c r="B416" s="19"/>
      <c r="C416" s="19"/>
      <c r="D416" s="19"/>
      <c r="E416" s="19"/>
      <c r="F416" s="19"/>
      <c r="G416" s="19"/>
      <c r="H416" s="19"/>
    </row>
    <row r="417" spans="1:8" x14ac:dyDescent="0.25">
      <c r="A417" s="15"/>
      <c r="B417" s="19"/>
      <c r="C417" s="19"/>
      <c r="D417" s="19"/>
      <c r="E417" s="19"/>
      <c r="F417" s="19"/>
      <c r="G417" s="19"/>
      <c r="H417" s="19"/>
    </row>
    <row r="418" spans="1:8" x14ac:dyDescent="0.25">
      <c r="A418" s="15"/>
      <c r="B418" s="19"/>
      <c r="C418" s="19"/>
      <c r="D418" s="19"/>
      <c r="E418" s="19"/>
      <c r="F418" s="19"/>
      <c r="G418" s="19"/>
      <c r="H418" s="19"/>
    </row>
    <row r="419" spans="1:8" x14ac:dyDescent="0.25">
      <c r="A419" s="15"/>
      <c r="B419" s="19"/>
      <c r="C419" s="19"/>
      <c r="D419" s="19"/>
      <c r="E419" s="19"/>
      <c r="F419" s="19"/>
      <c r="G419" s="19"/>
      <c r="H419" s="19"/>
    </row>
    <row r="420" spans="1:8" x14ac:dyDescent="0.25">
      <c r="A420" s="15"/>
      <c r="B420" s="19"/>
      <c r="C420" s="19"/>
      <c r="D420" s="19"/>
      <c r="E420" s="19"/>
      <c r="F420" s="19"/>
      <c r="G420" s="19"/>
      <c r="H420" s="19"/>
    </row>
    <row r="421" spans="1:8" x14ac:dyDescent="0.25">
      <c r="A421" s="15"/>
      <c r="B421" s="19"/>
      <c r="C421" s="19"/>
      <c r="D421" s="19"/>
      <c r="E421" s="19"/>
      <c r="F421" s="19"/>
      <c r="G421" s="19"/>
      <c r="H421" s="19"/>
    </row>
    <row r="422" spans="1:8" x14ac:dyDescent="0.25">
      <c r="A422" s="15"/>
      <c r="B422" s="19"/>
      <c r="C422" s="19"/>
      <c r="D422" s="19"/>
      <c r="E422" s="19"/>
      <c r="F422" s="19"/>
      <c r="G422" s="19"/>
      <c r="H422" s="19"/>
    </row>
    <row r="423" spans="1:8" x14ac:dyDescent="0.25">
      <c r="A423" s="15"/>
      <c r="B423" s="19"/>
      <c r="C423" s="19"/>
      <c r="D423" s="19"/>
      <c r="E423" s="19"/>
      <c r="F423" s="19"/>
      <c r="G423" s="19"/>
      <c r="H423" s="19"/>
    </row>
    <row r="424" spans="1:8" x14ac:dyDescent="0.25">
      <c r="A424" s="15"/>
      <c r="B424" s="19"/>
      <c r="C424" s="19"/>
      <c r="D424" s="19"/>
      <c r="E424" s="19"/>
      <c r="F424" s="19"/>
      <c r="G424" s="19"/>
      <c r="H424" s="19"/>
    </row>
    <row r="425" spans="1:8" x14ac:dyDescent="0.25">
      <c r="A425" s="15"/>
      <c r="B425" s="19"/>
      <c r="C425" s="19"/>
      <c r="D425" s="19"/>
      <c r="E425" s="19"/>
      <c r="F425" s="19"/>
      <c r="G425" s="19"/>
      <c r="H425" s="19"/>
    </row>
    <row r="426" spans="1:8" x14ac:dyDescent="0.25">
      <c r="A426" s="15"/>
      <c r="B426" s="19"/>
      <c r="C426" s="19"/>
      <c r="D426" s="19"/>
      <c r="E426" s="19"/>
      <c r="F426" s="19"/>
      <c r="G426" s="19"/>
      <c r="H426" s="19"/>
    </row>
    <row r="427" spans="1:8" x14ac:dyDescent="0.25">
      <c r="A427" s="15"/>
      <c r="B427" s="19"/>
      <c r="C427" s="19"/>
      <c r="D427" s="19"/>
      <c r="E427" s="19"/>
      <c r="F427" s="19"/>
      <c r="G427" s="19"/>
      <c r="H427" s="19"/>
    </row>
    <row r="428" spans="1:8" x14ac:dyDescent="0.25">
      <c r="A428" s="15"/>
      <c r="B428" s="19"/>
      <c r="C428" s="19"/>
      <c r="D428" s="19"/>
      <c r="E428" s="19"/>
      <c r="F428" s="19"/>
      <c r="G428" s="19"/>
      <c r="H428" s="19"/>
    </row>
    <row r="429" spans="1:8" x14ac:dyDescent="0.25">
      <c r="A429" s="15"/>
      <c r="B429" s="19"/>
      <c r="C429" s="19"/>
      <c r="D429" s="19"/>
      <c r="E429" s="19"/>
      <c r="F429" s="19"/>
      <c r="G429" s="19"/>
      <c r="H429" s="19"/>
    </row>
    <row r="430" spans="1:8" x14ac:dyDescent="0.25">
      <c r="A430" s="15"/>
      <c r="B430" s="19"/>
      <c r="C430" s="19"/>
      <c r="D430" s="19"/>
      <c r="E430" s="19"/>
      <c r="F430" s="19"/>
      <c r="G430" s="19"/>
      <c r="H430" s="19"/>
    </row>
    <row r="431" spans="1:8" x14ac:dyDescent="0.25">
      <c r="A431" s="15"/>
      <c r="B431" s="19"/>
      <c r="C431" s="19"/>
      <c r="D431" s="19"/>
      <c r="E431" s="19"/>
      <c r="F431" s="19"/>
      <c r="G431" s="19"/>
      <c r="H431" s="19"/>
    </row>
    <row r="432" spans="1:8" x14ac:dyDescent="0.25">
      <c r="A432" s="15"/>
      <c r="B432" s="19"/>
      <c r="C432" s="19"/>
      <c r="D432" s="19"/>
      <c r="E432" s="19"/>
      <c r="F432" s="19"/>
      <c r="G432" s="19"/>
      <c r="H432" s="19"/>
    </row>
    <row r="433" spans="1:8" x14ac:dyDescent="0.25">
      <c r="A433" s="15"/>
      <c r="B433" s="19"/>
      <c r="C433" s="19"/>
      <c r="D433" s="19"/>
      <c r="E433" s="19"/>
      <c r="F433" s="19"/>
      <c r="G433" s="19"/>
      <c r="H433" s="19"/>
    </row>
    <row r="434" spans="1:8" x14ac:dyDescent="0.25">
      <c r="A434" s="15"/>
      <c r="B434" s="19"/>
      <c r="C434" s="19"/>
      <c r="D434" s="19"/>
      <c r="E434" s="19"/>
      <c r="F434" s="19"/>
      <c r="G434" s="19"/>
      <c r="H434" s="19"/>
    </row>
    <row r="435" spans="1:8" x14ac:dyDescent="0.25">
      <c r="A435" s="15"/>
      <c r="B435" s="19"/>
      <c r="C435" s="19"/>
      <c r="D435" s="19"/>
      <c r="E435" s="19"/>
      <c r="F435" s="19"/>
      <c r="G435" s="19"/>
      <c r="H435" s="19"/>
    </row>
    <row r="436" spans="1:8" x14ac:dyDescent="0.25">
      <c r="A436" s="15"/>
      <c r="B436" s="19"/>
      <c r="C436" s="19"/>
      <c r="D436" s="19"/>
      <c r="E436" s="19"/>
      <c r="F436" s="19"/>
      <c r="G436" s="19"/>
      <c r="H436" s="19"/>
    </row>
    <row r="437" spans="1:8" x14ac:dyDescent="0.25">
      <c r="A437" s="15"/>
      <c r="B437" s="19"/>
      <c r="C437" s="19"/>
      <c r="D437" s="19"/>
      <c r="E437" s="19"/>
      <c r="F437" s="19"/>
      <c r="G437" s="19"/>
      <c r="H437" s="19"/>
    </row>
    <row r="438" spans="1:8" x14ac:dyDescent="0.25">
      <c r="A438" s="15"/>
      <c r="B438" s="19"/>
      <c r="C438" s="19"/>
      <c r="D438" s="19"/>
      <c r="E438" s="19"/>
      <c r="F438" s="19"/>
      <c r="G438" s="19"/>
      <c r="H438" s="19"/>
    </row>
    <row r="439" spans="1:8" x14ac:dyDescent="0.25">
      <c r="A439" s="15"/>
      <c r="B439" s="19"/>
      <c r="C439" s="19"/>
      <c r="D439" s="19"/>
      <c r="E439" s="19"/>
      <c r="F439" s="19"/>
      <c r="G439" s="19"/>
      <c r="H439" s="19"/>
    </row>
    <row r="440" spans="1:8" x14ac:dyDescent="0.25">
      <c r="A440" s="15"/>
      <c r="B440" s="19"/>
      <c r="C440" s="19"/>
      <c r="D440" s="19"/>
      <c r="E440" s="19"/>
      <c r="F440" s="19"/>
      <c r="G440" s="19"/>
      <c r="H440" s="19"/>
    </row>
    <row r="441" spans="1:8" x14ac:dyDescent="0.25">
      <c r="A441" s="15"/>
      <c r="B441" s="19"/>
      <c r="C441" s="19"/>
      <c r="D441" s="19"/>
      <c r="E441" s="19"/>
      <c r="F441" s="19"/>
      <c r="G441" s="19"/>
      <c r="H441" s="19"/>
    </row>
    <row r="442" spans="1:8" x14ac:dyDescent="0.25">
      <c r="A442" s="15"/>
      <c r="B442" s="19"/>
      <c r="C442" s="19"/>
      <c r="D442" s="19"/>
      <c r="E442" s="19"/>
      <c r="F442" s="19"/>
      <c r="G442" s="19"/>
      <c r="H442" s="19"/>
    </row>
    <row r="443" spans="1:8" x14ac:dyDescent="0.25">
      <c r="A443" s="15"/>
      <c r="B443" s="19"/>
      <c r="C443" s="19"/>
      <c r="D443" s="19"/>
      <c r="E443" s="19"/>
      <c r="F443" s="19"/>
      <c r="G443" s="19"/>
      <c r="H443" s="19"/>
    </row>
    <row r="444" spans="1:8" x14ac:dyDescent="0.25">
      <c r="A444" s="15"/>
      <c r="B444" s="19"/>
      <c r="C444" s="19"/>
      <c r="D444" s="19"/>
      <c r="E444" s="19"/>
      <c r="F444" s="19"/>
      <c r="G444" s="19"/>
      <c r="H444" s="19"/>
    </row>
    <row r="445" spans="1:8" x14ac:dyDescent="0.25">
      <c r="A445" s="15"/>
      <c r="B445" s="19"/>
      <c r="C445" s="19"/>
      <c r="D445" s="19"/>
      <c r="E445" s="19"/>
      <c r="F445" s="19"/>
      <c r="G445" s="19"/>
      <c r="H445" s="19"/>
    </row>
    <row r="446" spans="1:8" x14ac:dyDescent="0.25">
      <c r="A446" s="15"/>
      <c r="B446" s="19"/>
      <c r="C446" s="19"/>
      <c r="D446" s="19"/>
      <c r="E446" s="19"/>
      <c r="F446" s="19"/>
      <c r="G446" s="19"/>
      <c r="H446" s="19"/>
    </row>
    <row r="447" spans="1:8" x14ac:dyDescent="0.25">
      <c r="A447" s="15"/>
      <c r="B447" s="19"/>
      <c r="C447" s="19"/>
      <c r="D447" s="19"/>
      <c r="E447" s="19"/>
      <c r="F447" s="19"/>
      <c r="G447" s="19"/>
      <c r="H447" s="19"/>
    </row>
    <row r="448" spans="1:8" x14ac:dyDescent="0.25">
      <c r="A448" s="15"/>
      <c r="B448" s="19"/>
      <c r="C448" s="19"/>
      <c r="D448" s="19"/>
      <c r="E448" s="19"/>
      <c r="F448" s="19"/>
      <c r="G448" s="19"/>
      <c r="H448" s="19"/>
    </row>
    <row r="449" spans="1:8" x14ac:dyDescent="0.25">
      <c r="A449" s="15"/>
      <c r="B449" s="19"/>
      <c r="C449" s="19"/>
      <c r="D449" s="19"/>
      <c r="E449" s="19"/>
      <c r="F449" s="19"/>
      <c r="G449" s="19"/>
      <c r="H449" s="19"/>
    </row>
    <row r="450" spans="1:8" x14ac:dyDescent="0.25">
      <c r="A450" s="15"/>
      <c r="B450" s="19"/>
      <c r="C450" s="19"/>
      <c r="D450" s="19"/>
      <c r="E450" s="19"/>
      <c r="F450" s="19"/>
      <c r="G450" s="19"/>
      <c r="H450" s="19"/>
    </row>
    <row r="451" spans="1:8" x14ac:dyDescent="0.25">
      <c r="A451" s="15"/>
      <c r="B451" s="19"/>
      <c r="C451" s="19"/>
      <c r="D451" s="19"/>
      <c r="E451" s="19"/>
      <c r="F451" s="19"/>
      <c r="G451" s="19"/>
      <c r="H451" s="19"/>
    </row>
    <row r="452" spans="1:8" x14ac:dyDescent="0.25">
      <c r="A452" s="15"/>
      <c r="B452" s="19"/>
      <c r="C452" s="19"/>
      <c r="D452" s="19"/>
      <c r="E452" s="19"/>
      <c r="F452" s="19"/>
      <c r="G452" s="19"/>
      <c r="H452" s="19"/>
    </row>
    <row r="453" spans="1:8" x14ac:dyDescent="0.25">
      <c r="A453" s="15"/>
      <c r="B453" s="19"/>
      <c r="C453" s="19"/>
      <c r="D453" s="19"/>
      <c r="E453" s="19"/>
      <c r="F453" s="19"/>
      <c r="G453" s="19"/>
      <c r="H453" s="19"/>
    </row>
    <row r="454" spans="1:8" x14ac:dyDescent="0.25">
      <c r="A454" s="15"/>
      <c r="B454" s="19"/>
      <c r="C454" s="19"/>
      <c r="D454" s="19"/>
      <c r="E454" s="19"/>
      <c r="F454" s="19"/>
      <c r="G454" s="19"/>
      <c r="H454" s="19"/>
    </row>
    <row r="455" spans="1:8" x14ac:dyDescent="0.25">
      <c r="A455" s="15"/>
      <c r="B455" s="19"/>
      <c r="C455" s="19"/>
      <c r="D455" s="19"/>
      <c r="E455" s="19"/>
      <c r="F455" s="19"/>
      <c r="G455" s="19"/>
      <c r="H455" s="19"/>
    </row>
    <row r="456" spans="1:8" x14ac:dyDescent="0.25">
      <c r="A456" s="15"/>
      <c r="B456" s="19"/>
      <c r="C456" s="19"/>
      <c r="D456" s="19"/>
      <c r="E456" s="19"/>
      <c r="F456" s="19"/>
      <c r="G456" s="19"/>
      <c r="H456" s="19"/>
    </row>
    <row r="457" spans="1:8" x14ac:dyDescent="0.25">
      <c r="A457" s="15"/>
      <c r="B457" s="19"/>
      <c r="C457" s="19"/>
      <c r="D457" s="19"/>
      <c r="E457" s="19"/>
      <c r="F457" s="19"/>
      <c r="G457" s="19"/>
      <c r="H457" s="19"/>
    </row>
    <row r="458" spans="1:8" x14ac:dyDescent="0.25">
      <c r="A458" s="15"/>
      <c r="B458" s="19"/>
      <c r="C458" s="19"/>
      <c r="D458" s="19"/>
      <c r="E458" s="19"/>
      <c r="F458" s="19"/>
      <c r="G458" s="19"/>
      <c r="H458" s="19"/>
    </row>
    <row r="459" spans="1:8" x14ac:dyDescent="0.25">
      <c r="A459" s="15"/>
      <c r="B459" s="19"/>
      <c r="C459" s="19"/>
      <c r="D459" s="19"/>
      <c r="E459" s="19"/>
      <c r="F459" s="19"/>
      <c r="G459" s="19"/>
      <c r="H459" s="19"/>
    </row>
    <row r="460" spans="1:8" x14ac:dyDescent="0.25">
      <c r="A460" s="15"/>
      <c r="B460" s="19"/>
      <c r="C460" s="19"/>
      <c r="D460" s="19"/>
      <c r="E460" s="19"/>
      <c r="F460" s="19"/>
      <c r="G460" s="19"/>
      <c r="H460" s="19"/>
    </row>
    <row r="461" spans="1:8" x14ac:dyDescent="0.25">
      <c r="A461" s="15"/>
      <c r="B461" s="19"/>
      <c r="C461" s="19"/>
      <c r="D461" s="19"/>
      <c r="E461" s="19"/>
      <c r="F461" s="19"/>
      <c r="G461" s="19"/>
      <c r="H461" s="19"/>
    </row>
    <row r="462" spans="1:8" x14ac:dyDescent="0.25">
      <c r="A462" s="15"/>
      <c r="B462" s="19"/>
      <c r="C462" s="19"/>
      <c r="D462" s="19"/>
      <c r="E462" s="19"/>
      <c r="F462" s="19"/>
      <c r="G462" s="19"/>
      <c r="H462" s="19"/>
    </row>
    <row r="463" spans="1:8" x14ac:dyDescent="0.25">
      <c r="A463" s="15"/>
      <c r="B463" s="19"/>
      <c r="C463" s="19"/>
      <c r="D463" s="19"/>
      <c r="E463" s="19"/>
      <c r="F463" s="19"/>
      <c r="G463" s="19"/>
      <c r="H463" s="19"/>
    </row>
    <row r="464" spans="1:8" x14ac:dyDescent="0.25">
      <c r="A464" s="15"/>
      <c r="B464" s="19"/>
      <c r="C464" s="19"/>
      <c r="D464" s="19"/>
      <c r="E464" s="19"/>
      <c r="F464" s="19"/>
      <c r="G464" s="19"/>
      <c r="H464" s="19"/>
    </row>
    <row r="465" spans="1:8" x14ac:dyDescent="0.25">
      <c r="A465" s="15"/>
      <c r="B465" s="19"/>
      <c r="C465" s="19"/>
      <c r="D465" s="19"/>
      <c r="E465" s="19"/>
      <c r="F465" s="19"/>
      <c r="G465" s="19"/>
      <c r="H465" s="19"/>
    </row>
    <row r="466" spans="1:8" x14ac:dyDescent="0.25">
      <c r="A466" s="15"/>
      <c r="B466" s="19"/>
      <c r="C466" s="19"/>
      <c r="D466" s="19"/>
      <c r="E466" s="19"/>
      <c r="F466" s="19"/>
      <c r="G466" s="19"/>
      <c r="H466" s="19"/>
    </row>
    <row r="467" spans="1:8" x14ac:dyDescent="0.25">
      <c r="A467" s="15"/>
      <c r="B467" s="19"/>
      <c r="C467" s="19"/>
      <c r="D467" s="19"/>
      <c r="E467" s="19"/>
      <c r="F467" s="19"/>
      <c r="G467" s="19"/>
      <c r="H467" s="19"/>
    </row>
    <row r="468" spans="1:8" x14ac:dyDescent="0.25">
      <c r="A468" s="15"/>
      <c r="B468" s="19"/>
      <c r="C468" s="19"/>
      <c r="D468" s="19"/>
      <c r="E468" s="19"/>
      <c r="F468" s="19"/>
      <c r="G468" s="19"/>
      <c r="H468" s="19"/>
    </row>
    <row r="469" spans="1:8" x14ac:dyDescent="0.25">
      <c r="A469" s="15"/>
      <c r="B469" s="19"/>
      <c r="C469" s="19"/>
      <c r="D469" s="19"/>
      <c r="E469" s="19"/>
      <c r="F469" s="19"/>
      <c r="G469" s="19"/>
      <c r="H469" s="19"/>
    </row>
    <row r="470" spans="1:8" x14ac:dyDescent="0.25">
      <c r="A470" s="15"/>
      <c r="B470" s="19"/>
      <c r="C470" s="19"/>
      <c r="D470" s="19"/>
      <c r="E470" s="19"/>
      <c r="F470" s="19"/>
      <c r="G470" s="19"/>
      <c r="H470" s="19"/>
    </row>
    <row r="471" spans="1:8" x14ac:dyDescent="0.25">
      <c r="A471" s="15"/>
      <c r="B471" s="19"/>
      <c r="C471" s="19"/>
      <c r="D471" s="19"/>
      <c r="E471" s="19"/>
      <c r="F471" s="19"/>
      <c r="G471" s="19"/>
      <c r="H471" s="19"/>
    </row>
    <row r="472" spans="1:8" x14ac:dyDescent="0.25">
      <c r="A472" s="15"/>
      <c r="B472" s="19"/>
      <c r="C472" s="19"/>
      <c r="D472" s="19"/>
      <c r="E472" s="19"/>
      <c r="F472" s="19"/>
      <c r="G472" s="19"/>
      <c r="H472" s="19"/>
    </row>
    <row r="473" spans="1:8" x14ac:dyDescent="0.25">
      <c r="A473" s="15"/>
      <c r="B473" s="19"/>
      <c r="C473" s="19"/>
      <c r="D473" s="19"/>
      <c r="E473" s="19"/>
      <c r="F473" s="19"/>
      <c r="G473" s="19"/>
      <c r="H473" s="19"/>
    </row>
    <row r="474" spans="1:8" x14ac:dyDescent="0.25">
      <c r="A474" s="15"/>
      <c r="B474" s="19"/>
      <c r="C474" s="19"/>
      <c r="D474" s="19"/>
      <c r="E474" s="19"/>
      <c r="F474" s="19"/>
      <c r="G474" s="19"/>
      <c r="H474" s="19"/>
    </row>
    <row r="475" spans="1:8" x14ac:dyDescent="0.25">
      <c r="A475" s="15"/>
      <c r="B475" s="19"/>
      <c r="C475" s="19"/>
      <c r="D475" s="19"/>
      <c r="E475" s="19"/>
      <c r="F475" s="19"/>
      <c r="G475" s="19"/>
      <c r="H475" s="19"/>
    </row>
    <row r="476" spans="1:8" x14ac:dyDescent="0.25">
      <c r="A476" s="15"/>
      <c r="B476" s="19"/>
      <c r="C476" s="19"/>
      <c r="D476" s="19"/>
      <c r="E476" s="19"/>
      <c r="F476" s="19"/>
      <c r="G476" s="19"/>
      <c r="H476" s="19"/>
    </row>
    <row r="477" spans="1:8" x14ac:dyDescent="0.25">
      <c r="A477" s="15"/>
      <c r="B477" s="19"/>
      <c r="C477" s="19"/>
      <c r="D477" s="19"/>
      <c r="E477" s="19"/>
      <c r="F477" s="19"/>
      <c r="G477" s="19"/>
      <c r="H477" s="19"/>
    </row>
    <row r="478" spans="1:8" x14ac:dyDescent="0.25">
      <c r="A478" s="15"/>
      <c r="B478" s="19"/>
      <c r="C478" s="19"/>
      <c r="D478" s="19"/>
      <c r="E478" s="19"/>
      <c r="F478" s="19"/>
      <c r="G478" s="19"/>
      <c r="H478" s="19"/>
    </row>
    <row r="479" spans="1:8" x14ac:dyDescent="0.25">
      <c r="A479" s="15"/>
      <c r="B479" s="19"/>
      <c r="C479" s="19"/>
      <c r="D479" s="19"/>
      <c r="E479" s="19"/>
      <c r="F479" s="19"/>
      <c r="G479" s="19"/>
      <c r="H479" s="19"/>
    </row>
    <row r="480" spans="1:8" x14ac:dyDescent="0.25">
      <c r="A480" s="15"/>
      <c r="B480" s="19"/>
      <c r="C480" s="19"/>
      <c r="D480" s="19"/>
      <c r="E480" s="19"/>
      <c r="F480" s="19"/>
      <c r="G480" s="19"/>
      <c r="H480" s="19"/>
    </row>
    <row r="481" spans="1:8" x14ac:dyDescent="0.25">
      <c r="A481" s="15"/>
      <c r="B481" s="19"/>
      <c r="C481" s="19"/>
      <c r="D481" s="19"/>
      <c r="E481" s="19"/>
      <c r="F481" s="19"/>
      <c r="G481" s="19"/>
      <c r="H481" s="19"/>
    </row>
    <row r="482" spans="1:8" x14ac:dyDescent="0.25">
      <c r="A482" s="15"/>
      <c r="B482" s="19"/>
      <c r="C482" s="19"/>
      <c r="D482" s="19"/>
      <c r="E482" s="19"/>
      <c r="F482" s="19"/>
      <c r="G482" s="19"/>
      <c r="H482" s="19"/>
    </row>
    <row r="483" spans="1:8" x14ac:dyDescent="0.25">
      <c r="A483" s="15"/>
      <c r="B483" s="19"/>
      <c r="C483" s="19"/>
      <c r="D483" s="19"/>
      <c r="E483" s="19"/>
      <c r="F483" s="19"/>
      <c r="G483" s="19"/>
      <c r="H483" s="19"/>
    </row>
    <row r="484" spans="1:8" x14ac:dyDescent="0.25">
      <c r="A484" s="15"/>
      <c r="B484" s="19"/>
      <c r="C484" s="19"/>
      <c r="D484" s="19"/>
      <c r="E484" s="19"/>
      <c r="F484" s="19"/>
      <c r="G484" s="19"/>
      <c r="H484" s="19"/>
    </row>
    <row r="485" spans="1:8" x14ac:dyDescent="0.25">
      <c r="A485" s="15"/>
      <c r="B485" s="19"/>
      <c r="C485" s="19"/>
      <c r="D485" s="19"/>
      <c r="E485" s="19"/>
      <c r="F485" s="19"/>
      <c r="G485" s="19"/>
      <c r="H485" s="19"/>
    </row>
    <row r="486" spans="1:8" x14ac:dyDescent="0.25">
      <c r="A486" s="15"/>
      <c r="B486" s="19"/>
      <c r="C486" s="19"/>
      <c r="D486" s="19"/>
      <c r="E486" s="19"/>
      <c r="F486" s="19"/>
      <c r="G486" s="19"/>
      <c r="H486" s="19"/>
    </row>
    <row r="487" spans="1:8" x14ac:dyDescent="0.25">
      <c r="A487" s="15"/>
      <c r="B487" s="19"/>
      <c r="C487" s="19"/>
      <c r="D487" s="19"/>
      <c r="E487" s="19"/>
      <c r="F487" s="19"/>
      <c r="G487" s="19"/>
      <c r="H487" s="19"/>
    </row>
    <row r="488" spans="1:8" x14ac:dyDescent="0.25">
      <c r="A488" s="15"/>
      <c r="B488" s="19"/>
      <c r="C488" s="19"/>
      <c r="D488" s="19"/>
      <c r="E488" s="19"/>
      <c r="F488" s="19"/>
      <c r="G488" s="19"/>
      <c r="H488" s="19"/>
    </row>
    <row r="489" spans="1:8" x14ac:dyDescent="0.25">
      <c r="A489" s="15"/>
      <c r="B489" s="19"/>
      <c r="C489" s="19"/>
      <c r="D489" s="19"/>
      <c r="E489" s="19"/>
      <c r="F489" s="19"/>
      <c r="G489" s="19"/>
      <c r="H489" s="19"/>
    </row>
    <row r="490" spans="1:8" x14ac:dyDescent="0.25">
      <c r="A490" s="15"/>
      <c r="B490" s="19"/>
      <c r="C490" s="19"/>
      <c r="D490" s="19"/>
      <c r="E490" s="19"/>
      <c r="F490" s="19"/>
      <c r="G490" s="19"/>
      <c r="H490" s="19"/>
    </row>
    <row r="491" spans="1:8" x14ac:dyDescent="0.25">
      <c r="A491" s="15"/>
      <c r="B491" s="19"/>
      <c r="C491" s="19"/>
      <c r="D491" s="19"/>
      <c r="E491" s="19"/>
      <c r="F491" s="19"/>
      <c r="G491" s="19"/>
      <c r="H491" s="19"/>
    </row>
    <row r="492" spans="1:8" x14ac:dyDescent="0.25">
      <c r="A492" s="15"/>
      <c r="B492" s="19"/>
      <c r="C492" s="19"/>
      <c r="D492" s="19"/>
      <c r="E492" s="19"/>
      <c r="F492" s="19"/>
      <c r="G492" s="19"/>
      <c r="H492" s="19"/>
    </row>
    <row r="493" spans="1:8" x14ac:dyDescent="0.25">
      <c r="A493" s="15"/>
      <c r="B493" s="19"/>
      <c r="C493" s="19"/>
      <c r="D493" s="19"/>
      <c r="E493" s="19"/>
      <c r="F493" s="19"/>
      <c r="G493" s="19"/>
      <c r="H493" s="19"/>
    </row>
    <row r="494" spans="1:8" x14ac:dyDescent="0.25">
      <c r="A494" s="15"/>
      <c r="B494" s="19"/>
      <c r="C494" s="19"/>
      <c r="D494" s="19"/>
      <c r="E494" s="19"/>
      <c r="F494" s="19"/>
      <c r="G494" s="19"/>
      <c r="H494" s="19"/>
    </row>
    <row r="495" spans="1:8" x14ac:dyDescent="0.25">
      <c r="A495" s="15"/>
      <c r="B495" s="19"/>
      <c r="C495" s="19"/>
      <c r="D495" s="19"/>
      <c r="E495" s="19"/>
      <c r="F495" s="19"/>
      <c r="G495" s="19"/>
      <c r="H495" s="19"/>
    </row>
    <row r="496" spans="1:8" x14ac:dyDescent="0.25">
      <c r="A496" s="15"/>
      <c r="B496" s="19"/>
      <c r="C496" s="19"/>
      <c r="D496" s="19"/>
      <c r="E496" s="19"/>
      <c r="F496" s="19"/>
      <c r="G496" s="19"/>
      <c r="H496" s="19"/>
    </row>
    <row r="497" spans="1:8" x14ac:dyDescent="0.25">
      <c r="A497" s="15"/>
      <c r="B497" s="19"/>
      <c r="C497" s="19"/>
      <c r="D497" s="19"/>
      <c r="E497" s="19"/>
      <c r="F497" s="19"/>
      <c r="G497" s="19"/>
      <c r="H497" s="19"/>
    </row>
    <row r="498" spans="1:8" x14ac:dyDescent="0.25">
      <c r="A498" s="15"/>
      <c r="B498" s="19"/>
      <c r="C498" s="19"/>
      <c r="D498" s="19"/>
      <c r="E498" s="19"/>
      <c r="F498" s="19"/>
      <c r="G498" s="19"/>
      <c r="H498" s="19"/>
    </row>
    <row r="499" spans="1:8" x14ac:dyDescent="0.25">
      <c r="A499" s="15"/>
      <c r="B499" s="19"/>
      <c r="C499" s="19"/>
      <c r="D499" s="19"/>
      <c r="E499" s="19"/>
      <c r="F499" s="19"/>
      <c r="G499" s="19"/>
      <c r="H499" s="19"/>
    </row>
    <row r="500" spans="1:8" x14ac:dyDescent="0.25">
      <c r="A500" s="15"/>
      <c r="B500" s="19"/>
      <c r="C500" s="19"/>
      <c r="D500" s="19"/>
      <c r="E500" s="19"/>
      <c r="F500" s="19"/>
      <c r="G500" s="19"/>
      <c r="H500" s="19"/>
    </row>
    <row r="501" spans="1:8" x14ac:dyDescent="0.25">
      <c r="A501" s="15"/>
      <c r="B501" s="19"/>
      <c r="C501" s="19"/>
      <c r="D501" s="19"/>
      <c r="E501" s="19"/>
      <c r="F501" s="19"/>
      <c r="G501" s="19"/>
      <c r="H501" s="19"/>
    </row>
    <row r="502" spans="1:8" x14ac:dyDescent="0.25">
      <c r="A502" s="15"/>
      <c r="B502" s="19"/>
      <c r="C502" s="19"/>
      <c r="D502" s="19"/>
      <c r="E502" s="19"/>
      <c r="F502" s="19"/>
      <c r="G502" s="19"/>
      <c r="H502" s="19"/>
    </row>
    <row r="503" spans="1:8" x14ac:dyDescent="0.25">
      <c r="A503" s="15"/>
      <c r="B503" s="19"/>
      <c r="C503" s="19"/>
      <c r="D503" s="19"/>
      <c r="E503" s="19"/>
      <c r="F503" s="19"/>
      <c r="G503" s="19"/>
      <c r="H503" s="19"/>
    </row>
    <row r="504" spans="1:8" x14ac:dyDescent="0.25">
      <c r="A504" s="15"/>
      <c r="B504" s="19"/>
      <c r="C504" s="19"/>
      <c r="D504" s="19"/>
      <c r="E504" s="19"/>
      <c r="F504" s="19"/>
      <c r="G504" s="19"/>
      <c r="H504" s="19"/>
    </row>
    <row r="505" spans="1:8" x14ac:dyDescent="0.25">
      <c r="A505" s="15"/>
      <c r="B505" s="19"/>
      <c r="C505" s="19"/>
      <c r="D505" s="19"/>
      <c r="E505" s="19"/>
      <c r="F505" s="19"/>
      <c r="G505" s="19"/>
      <c r="H505" s="19"/>
    </row>
    <row r="506" spans="1:8" x14ac:dyDescent="0.25">
      <c r="A506" s="15"/>
      <c r="B506" s="19"/>
      <c r="C506" s="19"/>
      <c r="D506" s="19"/>
      <c r="E506" s="19"/>
      <c r="F506" s="19"/>
      <c r="G506" s="19"/>
      <c r="H506" s="19"/>
    </row>
    <row r="507" spans="1:8" x14ac:dyDescent="0.25">
      <c r="A507" s="15"/>
      <c r="B507" s="19"/>
      <c r="C507" s="19"/>
      <c r="D507" s="19"/>
      <c r="E507" s="19"/>
      <c r="F507" s="19"/>
      <c r="G507" s="19"/>
      <c r="H507" s="19"/>
    </row>
    <row r="508" spans="1:8" x14ac:dyDescent="0.25">
      <c r="A508" s="15"/>
      <c r="B508" s="19"/>
      <c r="C508" s="19"/>
      <c r="D508" s="19"/>
      <c r="E508" s="19"/>
      <c r="F508" s="19"/>
      <c r="G508" s="19"/>
      <c r="H508" s="19"/>
    </row>
    <row r="509" spans="1:8" x14ac:dyDescent="0.25">
      <c r="A509" s="15"/>
      <c r="B509" s="19"/>
      <c r="C509" s="19"/>
      <c r="D509" s="19"/>
      <c r="E509" s="19"/>
      <c r="F509" s="19"/>
      <c r="G509" s="19"/>
      <c r="H509" s="19"/>
    </row>
    <row r="510" spans="1:8" x14ac:dyDescent="0.25">
      <c r="A510" s="15"/>
      <c r="B510" s="19"/>
      <c r="C510" s="19"/>
      <c r="D510" s="19"/>
      <c r="E510" s="19"/>
      <c r="F510" s="19"/>
      <c r="G510" s="19"/>
      <c r="H510" s="19"/>
    </row>
    <row r="511" spans="1:8" x14ac:dyDescent="0.25">
      <c r="A511" s="15"/>
      <c r="B511" s="19"/>
      <c r="C511" s="19"/>
      <c r="D511" s="19"/>
      <c r="E511" s="19"/>
      <c r="F511" s="19"/>
      <c r="G511" s="19"/>
      <c r="H511" s="19"/>
    </row>
    <row r="512" spans="1:8" x14ac:dyDescent="0.25">
      <c r="A512" s="15"/>
      <c r="B512" s="19"/>
      <c r="C512" s="19"/>
      <c r="D512" s="19"/>
      <c r="E512" s="19"/>
      <c r="F512" s="19"/>
      <c r="G512" s="19"/>
      <c r="H512" s="19"/>
    </row>
    <row r="513" spans="1:8" x14ac:dyDescent="0.25">
      <c r="A513" s="15"/>
      <c r="B513" s="19"/>
      <c r="C513" s="19"/>
      <c r="D513" s="19"/>
      <c r="E513" s="19"/>
      <c r="F513" s="19"/>
      <c r="G513" s="19"/>
      <c r="H513" s="19"/>
    </row>
    <row r="514" spans="1:8" x14ac:dyDescent="0.25">
      <c r="A514" s="15"/>
      <c r="B514" s="19"/>
      <c r="C514" s="19"/>
      <c r="D514" s="19"/>
      <c r="E514" s="19"/>
      <c r="F514" s="19"/>
      <c r="G514" s="19"/>
      <c r="H514" s="19"/>
    </row>
    <row r="515" spans="1:8" x14ac:dyDescent="0.25">
      <c r="A515" s="15"/>
      <c r="B515" s="19"/>
      <c r="C515" s="19"/>
      <c r="D515" s="19"/>
      <c r="E515" s="19"/>
      <c r="F515" s="19"/>
      <c r="G515" s="19"/>
      <c r="H515" s="19"/>
    </row>
    <row r="516" spans="1:8" x14ac:dyDescent="0.25">
      <c r="A516" s="15"/>
      <c r="B516" s="19"/>
      <c r="C516" s="19"/>
      <c r="D516" s="19"/>
      <c r="E516" s="19"/>
      <c r="F516" s="19"/>
      <c r="G516" s="19"/>
      <c r="H516" s="19"/>
    </row>
    <row r="517" spans="1:8" x14ac:dyDescent="0.25">
      <c r="A517" s="15"/>
      <c r="B517" s="19"/>
      <c r="C517" s="19"/>
      <c r="D517" s="19"/>
      <c r="E517" s="19"/>
      <c r="F517" s="19"/>
      <c r="G517" s="19"/>
      <c r="H517" s="19"/>
    </row>
    <row r="518" spans="1:8" x14ac:dyDescent="0.25">
      <c r="A518" s="15"/>
      <c r="B518" s="19"/>
      <c r="C518" s="19"/>
      <c r="D518" s="19"/>
      <c r="E518" s="19"/>
      <c r="F518" s="19"/>
      <c r="G518" s="19"/>
      <c r="H518" s="19"/>
    </row>
    <row r="519" spans="1:8" x14ac:dyDescent="0.25">
      <c r="A519" s="15"/>
      <c r="B519" s="19"/>
      <c r="C519" s="19"/>
      <c r="D519" s="19"/>
      <c r="E519" s="19"/>
      <c r="F519" s="19"/>
      <c r="G519" s="19"/>
      <c r="H519" s="19"/>
    </row>
    <row r="520" spans="1:8" x14ac:dyDescent="0.25">
      <c r="A520" s="15"/>
      <c r="B520" s="19"/>
      <c r="C520" s="19"/>
      <c r="D520" s="19"/>
      <c r="E520" s="19"/>
      <c r="F520" s="19"/>
      <c r="G520" s="19"/>
      <c r="H520" s="19"/>
    </row>
    <row r="521" spans="1:8" x14ac:dyDescent="0.25">
      <c r="A521" s="15"/>
      <c r="B521" s="19"/>
      <c r="C521" s="19"/>
      <c r="D521" s="19"/>
      <c r="E521" s="19"/>
      <c r="F521" s="19"/>
      <c r="G521" s="19"/>
      <c r="H521" s="19"/>
    </row>
    <row r="522" spans="1:8" x14ac:dyDescent="0.25">
      <c r="A522" s="15"/>
      <c r="B522" s="19"/>
      <c r="C522" s="19"/>
      <c r="D522" s="19"/>
      <c r="E522" s="19"/>
      <c r="F522" s="19"/>
      <c r="G522" s="19"/>
      <c r="H522" s="19"/>
    </row>
    <row r="523" spans="1:8" x14ac:dyDescent="0.25">
      <c r="A523" s="15"/>
      <c r="B523" s="19"/>
      <c r="C523" s="19"/>
      <c r="D523" s="19"/>
      <c r="E523" s="19"/>
      <c r="F523" s="19"/>
      <c r="G523" s="19"/>
      <c r="H523" s="19"/>
    </row>
    <row r="524" spans="1:8" x14ac:dyDescent="0.25">
      <c r="A524" s="15"/>
      <c r="B524" s="19"/>
      <c r="C524" s="19"/>
      <c r="D524" s="19"/>
      <c r="E524" s="19"/>
      <c r="F524" s="19"/>
      <c r="G524" s="19"/>
      <c r="H524" s="19"/>
    </row>
    <row r="525" spans="1:8" x14ac:dyDescent="0.25">
      <c r="A525" s="15"/>
      <c r="B525" s="19"/>
      <c r="C525" s="19"/>
      <c r="D525" s="19"/>
      <c r="E525" s="19"/>
      <c r="F525" s="19"/>
      <c r="G525" s="19"/>
      <c r="H525" s="19"/>
    </row>
    <row r="526" spans="1:8" x14ac:dyDescent="0.25">
      <c r="A526" s="15"/>
      <c r="B526" s="19"/>
      <c r="C526" s="19"/>
      <c r="D526" s="19"/>
      <c r="E526" s="19"/>
      <c r="F526" s="19"/>
      <c r="G526" s="19"/>
      <c r="H526" s="19"/>
    </row>
    <row r="527" spans="1:8" x14ac:dyDescent="0.25">
      <c r="A527" s="15"/>
      <c r="B527" s="19"/>
      <c r="C527" s="19"/>
      <c r="D527" s="19"/>
      <c r="E527" s="19"/>
      <c r="F527" s="19"/>
      <c r="G527" s="19"/>
      <c r="H527" s="19"/>
    </row>
    <row r="528" spans="1:8" x14ac:dyDescent="0.25">
      <c r="A528" s="15"/>
      <c r="B528" s="19"/>
      <c r="C528" s="19"/>
      <c r="D528" s="19"/>
      <c r="E528" s="19"/>
      <c r="F528" s="19"/>
      <c r="G528" s="19"/>
      <c r="H528" s="19"/>
    </row>
    <row r="529" spans="1:8" x14ac:dyDescent="0.25">
      <c r="A529" s="15"/>
      <c r="B529" s="19"/>
      <c r="C529" s="19"/>
      <c r="D529" s="19"/>
      <c r="E529" s="19"/>
      <c r="F529" s="19"/>
      <c r="G529" s="19"/>
      <c r="H529" s="19"/>
    </row>
    <row r="530" spans="1:8" x14ac:dyDescent="0.25">
      <c r="A530" s="15"/>
      <c r="B530" s="19"/>
      <c r="C530" s="19"/>
      <c r="D530" s="19"/>
      <c r="E530" s="19"/>
      <c r="F530" s="19"/>
      <c r="G530" s="19"/>
      <c r="H530" s="19"/>
    </row>
    <row r="531" spans="1:8" x14ac:dyDescent="0.25">
      <c r="A531" s="15"/>
      <c r="B531" s="19"/>
      <c r="C531" s="19"/>
      <c r="D531" s="19"/>
      <c r="E531" s="19"/>
      <c r="F531" s="19"/>
      <c r="G531" s="19"/>
      <c r="H531" s="19"/>
    </row>
    <row r="532" spans="1:8" x14ac:dyDescent="0.25">
      <c r="A532" s="15"/>
      <c r="B532" s="19"/>
      <c r="C532" s="19"/>
      <c r="D532" s="19"/>
      <c r="E532" s="19"/>
      <c r="F532" s="19"/>
      <c r="G532" s="19"/>
      <c r="H532" s="19"/>
    </row>
    <row r="533" spans="1:8" x14ac:dyDescent="0.25">
      <c r="A533" s="15"/>
      <c r="B533" s="19"/>
      <c r="C533" s="19"/>
      <c r="D533" s="19"/>
      <c r="E533" s="19"/>
      <c r="F533" s="19"/>
      <c r="G533" s="19"/>
      <c r="H533" s="19"/>
    </row>
    <row r="534" spans="1:8" x14ac:dyDescent="0.25">
      <c r="A534" s="15"/>
      <c r="B534" s="19"/>
      <c r="C534" s="19"/>
      <c r="D534" s="19"/>
      <c r="E534" s="19"/>
      <c r="F534" s="19"/>
      <c r="G534" s="19"/>
      <c r="H534" s="19"/>
    </row>
    <row r="535" spans="1:8" x14ac:dyDescent="0.25">
      <c r="A535" s="15"/>
      <c r="B535" s="19"/>
      <c r="C535" s="19"/>
      <c r="D535" s="19"/>
      <c r="E535" s="19"/>
      <c r="F535" s="19"/>
      <c r="G535" s="19"/>
      <c r="H535" s="19"/>
    </row>
    <row r="536" spans="1:8" x14ac:dyDescent="0.25">
      <c r="A536" s="15"/>
      <c r="B536" s="19"/>
      <c r="C536" s="19"/>
      <c r="D536" s="19"/>
      <c r="E536" s="19"/>
      <c r="F536" s="19"/>
      <c r="G536" s="19"/>
      <c r="H536" s="19"/>
    </row>
    <row r="537" spans="1:8" x14ac:dyDescent="0.25">
      <c r="A537" s="15"/>
      <c r="B537" s="19"/>
      <c r="C537" s="19"/>
      <c r="D537" s="19"/>
      <c r="E537" s="19"/>
      <c r="F537" s="19"/>
      <c r="G537" s="19"/>
      <c r="H537" s="19"/>
    </row>
    <row r="538" spans="1:8" x14ac:dyDescent="0.25">
      <c r="A538" s="15"/>
      <c r="B538" s="19"/>
      <c r="C538" s="19"/>
      <c r="D538" s="19"/>
      <c r="E538" s="19"/>
      <c r="F538" s="19"/>
      <c r="G538" s="19"/>
      <c r="H538" s="19"/>
    </row>
    <row r="539" spans="1:8" x14ac:dyDescent="0.25">
      <c r="A539" s="15"/>
      <c r="B539" s="19"/>
      <c r="C539" s="19"/>
      <c r="D539" s="19"/>
      <c r="E539" s="19"/>
      <c r="F539" s="19"/>
      <c r="G539" s="19"/>
      <c r="H539" s="19"/>
    </row>
    <row r="540" spans="1:8" x14ac:dyDescent="0.25">
      <c r="A540" s="15"/>
      <c r="B540" s="19"/>
      <c r="C540" s="19"/>
      <c r="D540" s="19"/>
      <c r="E540" s="19"/>
      <c r="F540" s="19"/>
      <c r="G540" s="19"/>
      <c r="H540" s="19"/>
    </row>
    <row r="541" spans="1:8" x14ac:dyDescent="0.25">
      <c r="A541" s="15"/>
      <c r="B541" s="19"/>
      <c r="C541" s="19"/>
      <c r="D541" s="19"/>
      <c r="E541" s="19"/>
      <c r="F541" s="19"/>
      <c r="G541" s="19"/>
      <c r="H541" s="19"/>
    </row>
    <row r="542" spans="1:8" x14ac:dyDescent="0.25">
      <c r="A542" s="15"/>
      <c r="B542" s="19"/>
      <c r="C542" s="19"/>
      <c r="D542" s="19"/>
      <c r="E542" s="19"/>
      <c r="F542" s="19"/>
      <c r="G542" s="19"/>
      <c r="H542" s="19"/>
    </row>
    <row r="543" spans="1:8" x14ac:dyDescent="0.25">
      <c r="A543" s="15"/>
      <c r="B543" s="19"/>
      <c r="C543" s="19"/>
      <c r="D543" s="19"/>
      <c r="E543" s="19"/>
      <c r="F543" s="19"/>
      <c r="G543" s="19"/>
      <c r="H543" s="19"/>
    </row>
    <row r="544" spans="1:8" x14ac:dyDescent="0.25">
      <c r="A544" s="15"/>
      <c r="B544" s="19"/>
      <c r="C544" s="19"/>
      <c r="D544" s="19"/>
      <c r="E544" s="19"/>
      <c r="F544" s="19"/>
      <c r="G544" s="19"/>
      <c r="H544" s="19"/>
    </row>
    <row r="545" spans="1:8" x14ac:dyDescent="0.25">
      <c r="A545" s="15"/>
      <c r="B545" s="19"/>
      <c r="C545" s="19"/>
      <c r="D545" s="19"/>
      <c r="E545" s="19"/>
      <c r="F545" s="19"/>
      <c r="G545" s="19"/>
      <c r="H545" s="19"/>
    </row>
    <row r="546" spans="1:8" x14ac:dyDescent="0.25">
      <c r="A546" s="15"/>
      <c r="B546" s="19"/>
      <c r="C546" s="19"/>
      <c r="D546" s="19"/>
      <c r="E546" s="19"/>
      <c r="F546" s="19"/>
      <c r="G546" s="19"/>
      <c r="H546" s="19"/>
    </row>
    <row r="547" spans="1:8" x14ac:dyDescent="0.25">
      <c r="A547" s="15"/>
      <c r="B547" s="19"/>
      <c r="C547" s="19"/>
      <c r="D547" s="19"/>
      <c r="E547" s="19"/>
      <c r="F547" s="19"/>
      <c r="G547" s="19"/>
      <c r="H547" s="19"/>
    </row>
    <row r="548" spans="1:8" x14ac:dyDescent="0.25">
      <c r="A548" s="15"/>
      <c r="B548" s="19"/>
      <c r="C548" s="19"/>
      <c r="D548" s="19"/>
      <c r="E548" s="19"/>
      <c r="F548" s="19"/>
      <c r="G548" s="19"/>
      <c r="H548" s="19"/>
    </row>
    <row r="549" spans="1:8" x14ac:dyDescent="0.25">
      <c r="A549" s="15"/>
      <c r="B549" s="19"/>
      <c r="C549" s="19"/>
      <c r="D549" s="19"/>
      <c r="E549" s="19"/>
      <c r="F549" s="19"/>
      <c r="G549" s="19"/>
      <c r="H549" s="19"/>
    </row>
    <row r="550" spans="1:8" x14ac:dyDescent="0.25">
      <c r="A550" s="15"/>
      <c r="B550" s="19"/>
      <c r="C550" s="19"/>
      <c r="D550" s="19"/>
      <c r="E550" s="19"/>
      <c r="F550" s="19"/>
      <c r="G550" s="19"/>
      <c r="H550" s="19"/>
    </row>
    <row r="551" spans="1:8" x14ac:dyDescent="0.25">
      <c r="A551" s="15"/>
      <c r="B551" s="19"/>
      <c r="C551" s="19"/>
      <c r="D551" s="19"/>
      <c r="E551" s="19"/>
      <c r="F551" s="19"/>
      <c r="G551" s="19"/>
      <c r="H551" s="19"/>
    </row>
    <row r="552" spans="1:8" x14ac:dyDescent="0.25">
      <c r="A552" s="15"/>
      <c r="B552" s="19"/>
      <c r="C552" s="19"/>
      <c r="D552" s="19"/>
      <c r="E552" s="19"/>
      <c r="F552" s="19"/>
      <c r="G552" s="19"/>
      <c r="H552" s="19"/>
    </row>
    <row r="553" spans="1:8" x14ac:dyDescent="0.25">
      <c r="A553" s="15"/>
      <c r="B553" s="19"/>
      <c r="C553" s="19"/>
      <c r="D553" s="19"/>
      <c r="E553" s="19"/>
      <c r="F553" s="19"/>
      <c r="G553" s="19"/>
      <c r="H553" s="19"/>
    </row>
    <row r="554" spans="1:8" x14ac:dyDescent="0.25">
      <c r="A554" s="15"/>
      <c r="B554" s="19"/>
      <c r="C554" s="19"/>
      <c r="D554" s="19"/>
      <c r="E554" s="19"/>
      <c r="F554" s="19"/>
      <c r="G554" s="19"/>
      <c r="H554" s="19"/>
    </row>
    <row r="555" spans="1:8" x14ac:dyDescent="0.25">
      <c r="A555" s="15"/>
      <c r="B555" s="19"/>
      <c r="C555" s="19"/>
      <c r="D555" s="19"/>
      <c r="E555" s="19"/>
      <c r="F555" s="19"/>
      <c r="G555" s="19"/>
      <c r="H555" s="19"/>
    </row>
    <row r="556" spans="1:8" x14ac:dyDescent="0.25">
      <c r="A556" s="15"/>
      <c r="B556" s="19"/>
      <c r="C556" s="19"/>
      <c r="D556" s="19"/>
      <c r="E556" s="19"/>
      <c r="F556" s="19"/>
      <c r="G556" s="19"/>
      <c r="H556" s="19"/>
    </row>
    <row r="557" spans="1:8" x14ac:dyDescent="0.25">
      <c r="A557" s="15"/>
      <c r="B557" s="19"/>
      <c r="C557" s="19"/>
      <c r="D557" s="19"/>
      <c r="E557" s="19"/>
      <c r="F557" s="19"/>
      <c r="G557" s="19"/>
      <c r="H557" s="19"/>
    </row>
    <row r="558" spans="1:8" x14ac:dyDescent="0.25">
      <c r="A558" s="15"/>
      <c r="B558" s="19"/>
      <c r="C558" s="19"/>
      <c r="D558" s="19"/>
      <c r="E558" s="19"/>
      <c r="F558" s="19"/>
      <c r="G558" s="19"/>
      <c r="H558" s="19"/>
    </row>
    <row r="559" spans="1:8" x14ac:dyDescent="0.25">
      <c r="A559" s="15"/>
      <c r="B559" s="19"/>
      <c r="C559" s="19"/>
      <c r="D559" s="19"/>
      <c r="E559" s="19"/>
      <c r="F559" s="19"/>
      <c r="G559" s="19"/>
      <c r="H559" s="19"/>
    </row>
    <row r="560" spans="1:8" x14ac:dyDescent="0.25">
      <c r="A560" s="15"/>
      <c r="B560" s="19"/>
      <c r="C560" s="19"/>
      <c r="D560" s="19"/>
      <c r="E560" s="19"/>
      <c r="F560" s="19"/>
      <c r="G560" s="19"/>
      <c r="H560" s="19"/>
    </row>
    <row r="561" spans="1:8" x14ac:dyDescent="0.25">
      <c r="A561" s="15"/>
      <c r="B561" s="19"/>
      <c r="C561" s="19"/>
      <c r="D561" s="19"/>
      <c r="E561" s="19"/>
      <c r="F561" s="19"/>
      <c r="G561" s="19"/>
      <c r="H561" s="19"/>
    </row>
    <row r="562" spans="1:8" x14ac:dyDescent="0.25">
      <c r="A562" s="15"/>
      <c r="B562" s="19"/>
      <c r="C562" s="19"/>
      <c r="D562" s="19"/>
      <c r="E562" s="19"/>
      <c r="F562" s="19"/>
      <c r="G562" s="19"/>
      <c r="H562" s="19"/>
    </row>
    <row r="563" spans="1:8" x14ac:dyDescent="0.25">
      <c r="A563" s="15"/>
      <c r="B563" s="19"/>
      <c r="C563" s="19"/>
      <c r="D563" s="19"/>
      <c r="E563" s="19"/>
      <c r="F563" s="19"/>
      <c r="G563" s="19"/>
      <c r="H563" s="19"/>
    </row>
    <row r="564" spans="1:8" x14ac:dyDescent="0.25">
      <c r="A564" s="15"/>
      <c r="B564" s="19"/>
      <c r="C564" s="19"/>
      <c r="D564" s="19"/>
      <c r="E564" s="19"/>
      <c r="F564" s="19"/>
      <c r="G564" s="19"/>
      <c r="H564" s="19"/>
    </row>
    <row r="565" spans="1:8" x14ac:dyDescent="0.25">
      <c r="A565" s="15"/>
      <c r="B565" s="19"/>
      <c r="C565" s="19"/>
      <c r="D565" s="19"/>
      <c r="E565" s="19"/>
      <c r="F565" s="19"/>
      <c r="G565" s="19"/>
      <c r="H565" s="19"/>
    </row>
    <row r="566" spans="1:8" x14ac:dyDescent="0.25">
      <c r="A566" s="15"/>
      <c r="B566" s="19"/>
      <c r="C566" s="19"/>
      <c r="D566" s="19"/>
      <c r="E566" s="19"/>
      <c r="F566" s="19"/>
      <c r="G566" s="19"/>
      <c r="H566" s="19"/>
    </row>
    <row r="567" spans="1:8" x14ac:dyDescent="0.25">
      <c r="A567" s="15"/>
      <c r="B567" s="19"/>
      <c r="C567" s="19"/>
      <c r="D567" s="19"/>
      <c r="E567" s="19"/>
      <c r="F567" s="19"/>
      <c r="G567" s="19"/>
      <c r="H567" s="19"/>
    </row>
    <row r="568" spans="1:8" x14ac:dyDescent="0.25">
      <c r="A568" s="15"/>
      <c r="B568" s="19"/>
      <c r="C568" s="19"/>
      <c r="D568" s="19"/>
      <c r="E568" s="19"/>
      <c r="F568" s="19"/>
      <c r="G568" s="19"/>
      <c r="H568" s="19"/>
    </row>
    <row r="569" spans="1:8" x14ac:dyDescent="0.25">
      <c r="A569" s="15"/>
      <c r="B569" s="19"/>
      <c r="C569" s="19"/>
      <c r="D569" s="19"/>
      <c r="E569" s="19"/>
      <c r="F569" s="19"/>
      <c r="G569" s="19"/>
      <c r="H569" s="19"/>
    </row>
    <row r="570" spans="1:8" x14ac:dyDescent="0.25">
      <c r="A570" s="15"/>
      <c r="B570" s="19"/>
      <c r="C570" s="19"/>
      <c r="D570" s="19"/>
      <c r="E570" s="19"/>
      <c r="F570" s="19"/>
      <c r="G570" s="19"/>
      <c r="H570" s="19"/>
    </row>
    <row r="571" spans="1:8" x14ac:dyDescent="0.25">
      <c r="A571" s="15"/>
      <c r="B571" s="19"/>
      <c r="C571" s="19"/>
      <c r="D571" s="19"/>
      <c r="E571" s="19"/>
      <c r="F571" s="19"/>
      <c r="G571" s="19"/>
      <c r="H571" s="19"/>
    </row>
    <row r="572" spans="1:8" x14ac:dyDescent="0.25">
      <c r="A572" s="15"/>
      <c r="B572" s="19"/>
      <c r="C572" s="19"/>
      <c r="D572" s="19"/>
      <c r="E572" s="19"/>
      <c r="F572" s="19"/>
      <c r="G572" s="19"/>
      <c r="H572" s="19"/>
    </row>
    <row r="573" spans="1:8" x14ac:dyDescent="0.25">
      <c r="A573" s="15"/>
      <c r="B573" s="19"/>
      <c r="C573" s="19"/>
      <c r="D573" s="19"/>
      <c r="E573" s="19"/>
      <c r="F573" s="19"/>
      <c r="G573" s="19"/>
      <c r="H573" s="19"/>
    </row>
    <row r="574" spans="1:8" x14ac:dyDescent="0.25">
      <c r="A574" s="15"/>
      <c r="B574" s="19"/>
      <c r="C574" s="19"/>
      <c r="D574" s="19"/>
      <c r="E574" s="19"/>
      <c r="F574" s="19"/>
      <c r="G574" s="19"/>
      <c r="H574" s="19"/>
    </row>
    <row r="575" spans="1:8" x14ac:dyDescent="0.25">
      <c r="A575" s="15"/>
      <c r="B575" s="19"/>
      <c r="C575" s="19"/>
      <c r="D575" s="19"/>
      <c r="E575" s="19"/>
      <c r="F575" s="19"/>
      <c r="G575" s="19"/>
      <c r="H575" s="19"/>
    </row>
    <row r="576" spans="1:8" x14ac:dyDescent="0.25">
      <c r="A576" s="15"/>
      <c r="B576" s="19"/>
      <c r="C576" s="19"/>
      <c r="D576" s="19"/>
      <c r="E576" s="19"/>
      <c r="F576" s="19"/>
      <c r="G576" s="19"/>
      <c r="H576" s="19"/>
    </row>
    <row r="577" spans="1:8" x14ac:dyDescent="0.25">
      <c r="A577" s="15"/>
      <c r="B577" s="19"/>
      <c r="C577" s="19"/>
      <c r="D577" s="19"/>
      <c r="E577" s="19"/>
      <c r="F577" s="19"/>
      <c r="G577" s="19"/>
      <c r="H577" s="19"/>
    </row>
    <row r="578" spans="1:8" x14ac:dyDescent="0.25">
      <c r="A578" s="15"/>
      <c r="B578" s="19"/>
      <c r="C578" s="19"/>
      <c r="D578" s="19"/>
      <c r="E578" s="19"/>
      <c r="F578" s="19"/>
      <c r="G578" s="19"/>
      <c r="H578" s="19"/>
    </row>
    <row r="579" spans="1:8" x14ac:dyDescent="0.25">
      <c r="A579" s="15"/>
      <c r="B579" s="19"/>
      <c r="C579" s="19"/>
      <c r="D579" s="19"/>
      <c r="E579" s="19"/>
      <c r="F579" s="19"/>
      <c r="G579" s="19"/>
      <c r="H579" s="19"/>
    </row>
    <row r="580" spans="1:8" x14ac:dyDescent="0.25">
      <c r="A580" s="15"/>
      <c r="B580" s="19"/>
      <c r="C580" s="19"/>
      <c r="D580" s="19"/>
      <c r="E580" s="19"/>
      <c r="F580" s="19"/>
      <c r="G580" s="19"/>
      <c r="H580" s="19"/>
    </row>
    <row r="581" spans="1:8" x14ac:dyDescent="0.25">
      <c r="A581" s="15"/>
      <c r="B581" s="19"/>
      <c r="C581" s="19"/>
      <c r="D581" s="19"/>
      <c r="E581" s="19"/>
      <c r="F581" s="19"/>
      <c r="G581" s="19"/>
      <c r="H581" s="19"/>
    </row>
    <row r="582" spans="1:8" x14ac:dyDescent="0.25">
      <c r="A582" s="15"/>
      <c r="B582" s="19"/>
      <c r="C582" s="19"/>
      <c r="D582" s="19"/>
      <c r="E582" s="19"/>
      <c r="F582" s="19"/>
      <c r="G582" s="19"/>
      <c r="H582" s="19"/>
    </row>
    <row r="583" spans="1:8" x14ac:dyDescent="0.25">
      <c r="A583" s="15"/>
      <c r="B583" s="19"/>
      <c r="C583" s="19"/>
      <c r="D583" s="19"/>
      <c r="E583" s="19"/>
      <c r="F583" s="19"/>
      <c r="G583" s="19"/>
      <c r="H583" s="19"/>
    </row>
    <row r="584" spans="1:8" x14ac:dyDescent="0.25">
      <c r="A584" s="15"/>
      <c r="B584" s="19"/>
      <c r="C584" s="19"/>
      <c r="D584" s="19"/>
      <c r="E584" s="19"/>
      <c r="F584" s="19"/>
      <c r="G584" s="19"/>
      <c r="H584" s="19"/>
    </row>
    <row r="585" spans="1:8" x14ac:dyDescent="0.25">
      <c r="A585" s="15"/>
      <c r="B585" s="19"/>
      <c r="C585" s="19"/>
      <c r="D585" s="19"/>
      <c r="E585" s="19"/>
      <c r="F585" s="19"/>
      <c r="G585" s="19"/>
      <c r="H585" s="19"/>
    </row>
    <row r="586" spans="1:8" x14ac:dyDescent="0.25">
      <c r="A586" s="15"/>
      <c r="B586" s="19"/>
      <c r="C586" s="19"/>
      <c r="D586" s="19"/>
      <c r="E586" s="19"/>
      <c r="F586" s="19"/>
      <c r="G586" s="19"/>
      <c r="H586" s="19"/>
    </row>
    <row r="587" spans="1:8" x14ac:dyDescent="0.25">
      <c r="A587" s="15"/>
      <c r="B587" s="19"/>
      <c r="C587" s="19"/>
      <c r="D587" s="19"/>
      <c r="E587" s="19"/>
      <c r="F587" s="19"/>
      <c r="G587" s="19"/>
      <c r="H587" s="19"/>
    </row>
    <row r="588" spans="1:8" x14ac:dyDescent="0.25">
      <c r="A588" s="15"/>
      <c r="B588" s="19"/>
      <c r="C588" s="19"/>
      <c r="D588" s="19"/>
      <c r="E588" s="19"/>
      <c r="F588" s="19"/>
      <c r="G588" s="19"/>
      <c r="H588" s="19"/>
    </row>
    <row r="589" spans="1:8" x14ac:dyDescent="0.25">
      <c r="A589" s="15"/>
      <c r="B589" s="19"/>
      <c r="C589" s="19"/>
      <c r="D589" s="19"/>
      <c r="E589" s="19"/>
      <c r="F589" s="19"/>
      <c r="G589" s="19"/>
      <c r="H589" s="19"/>
    </row>
    <row r="590" spans="1:8" x14ac:dyDescent="0.25">
      <c r="A590" s="15"/>
      <c r="B590" s="19"/>
      <c r="C590" s="19"/>
      <c r="D590" s="19"/>
      <c r="E590" s="19"/>
      <c r="F590" s="19"/>
      <c r="G590" s="19"/>
      <c r="H590" s="19"/>
    </row>
    <row r="591" spans="1:8" x14ac:dyDescent="0.25">
      <c r="A591" s="15"/>
      <c r="B591" s="19"/>
      <c r="C591" s="19"/>
      <c r="D591" s="19"/>
      <c r="E591" s="19"/>
      <c r="F591" s="19"/>
      <c r="G591" s="19"/>
      <c r="H591" s="19"/>
    </row>
    <row r="592" spans="1:8" x14ac:dyDescent="0.25">
      <c r="A592" s="15"/>
      <c r="B592" s="19"/>
      <c r="C592" s="19"/>
      <c r="D592" s="19"/>
      <c r="E592" s="19"/>
      <c r="F592" s="19"/>
      <c r="G592" s="19"/>
      <c r="H592" s="19"/>
    </row>
    <row r="593" spans="1:8" x14ac:dyDescent="0.25">
      <c r="A593" s="15"/>
      <c r="B593" s="19"/>
      <c r="C593" s="19"/>
      <c r="D593" s="19"/>
      <c r="E593" s="19"/>
      <c r="F593" s="19"/>
      <c r="G593" s="19"/>
      <c r="H593" s="19"/>
    </row>
    <row r="594" spans="1:8" x14ac:dyDescent="0.25">
      <c r="A594" s="15"/>
      <c r="B594" s="19"/>
      <c r="C594" s="19"/>
      <c r="D594" s="19"/>
      <c r="E594" s="19"/>
      <c r="F594" s="19"/>
      <c r="G594" s="19"/>
      <c r="H594" s="19"/>
    </row>
    <row r="595" spans="1:8" x14ac:dyDescent="0.25">
      <c r="A595" s="15"/>
      <c r="B595" s="19"/>
      <c r="C595" s="19"/>
      <c r="D595" s="19"/>
      <c r="E595" s="19"/>
      <c r="F595" s="19"/>
      <c r="G595" s="19"/>
      <c r="H595" s="19"/>
    </row>
    <row r="596" spans="1:8" x14ac:dyDescent="0.25">
      <c r="A596" s="15"/>
      <c r="B596" s="19"/>
      <c r="C596" s="19"/>
      <c r="D596" s="19"/>
      <c r="E596" s="19"/>
      <c r="F596" s="19"/>
      <c r="G596" s="19"/>
      <c r="H596" s="19"/>
    </row>
    <row r="597" spans="1:8" x14ac:dyDescent="0.25">
      <c r="A597" s="15"/>
      <c r="B597" s="19"/>
      <c r="C597" s="19"/>
      <c r="D597" s="19"/>
      <c r="E597" s="19"/>
      <c r="F597" s="19"/>
      <c r="G597" s="19"/>
      <c r="H597" s="19"/>
    </row>
    <row r="598" spans="1:8" x14ac:dyDescent="0.25">
      <c r="A598" s="15"/>
      <c r="B598" s="19"/>
      <c r="C598" s="19"/>
      <c r="D598" s="19"/>
      <c r="E598" s="19"/>
      <c r="F598" s="19"/>
      <c r="G598" s="19"/>
      <c r="H598" s="19"/>
    </row>
    <row r="599" spans="1:8" x14ac:dyDescent="0.25">
      <c r="A599" s="15"/>
      <c r="B599" s="19"/>
      <c r="C599" s="19"/>
      <c r="D599" s="19"/>
      <c r="E599" s="19"/>
      <c r="F599" s="19"/>
      <c r="G599" s="19"/>
      <c r="H599" s="19"/>
    </row>
    <row r="600" spans="1:8" x14ac:dyDescent="0.25">
      <c r="A600" s="15"/>
      <c r="B600" s="19"/>
      <c r="C600" s="19"/>
      <c r="D600" s="19"/>
      <c r="E600" s="19"/>
      <c r="F600" s="19"/>
      <c r="G600" s="19"/>
      <c r="H600" s="19"/>
    </row>
    <row r="601" spans="1:8" x14ac:dyDescent="0.25">
      <c r="A601" s="15"/>
      <c r="B601" s="19"/>
      <c r="C601" s="19"/>
      <c r="D601" s="19"/>
      <c r="E601" s="19"/>
      <c r="F601" s="19"/>
      <c r="G601" s="19"/>
      <c r="H601" s="19"/>
    </row>
    <row r="602" spans="1:8" x14ac:dyDescent="0.25">
      <c r="A602" s="15"/>
      <c r="B602" s="19"/>
      <c r="C602" s="19"/>
      <c r="D602" s="19"/>
      <c r="E602" s="19"/>
      <c r="F602" s="19"/>
      <c r="G602" s="19"/>
      <c r="H602" s="19"/>
    </row>
    <row r="603" spans="1:8" x14ac:dyDescent="0.25">
      <c r="A603" s="15"/>
      <c r="B603" s="19"/>
      <c r="C603" s="19"/>
      <c r="D603" s="19"/>
      <c r="E603" s="19"/>
      <c r="F603" s="19"/>
      <c r="G603" s="19"/>
      <c r="H603" s="19"/>
    </row>
    <row r="604" spans="1:8" x14ac:dyDescent="0.25">
      <c r="A604" s="15"/>
      <c r="B604" s="19"/>
      <c r="C604" s="19"/>
      <c r="D604" s="19"/>
      <c r="E604" s="19"/>
      <c r="F604" s="19"/>
      <c r="G604" s="19"/>
      <c r="H604" s="19"/>
    </row>
    <row r="605" spans="1:8" x14ac:dyDescent="0.25">
      <c r="A605" s="15"/>
      <c r="B605" s="19"/>
      <c r="C605" s="19"/>
      <c r="D605" s="19"/>
      <c r="E605" s="19"/>
      <c r="F605" s="19"/>
      <c r="G605" s="19"/>
      <c r="H605" s="19"/>
    </row>
    <row r="606" spans="1:8" x14ac:dyDescent="0.25">
      <c r="A606" s="15"/>
      <c r="B606" s="19"/>
      <c r="C606" s="19"/>
      <c r="D606" s="19"/>
      <c r="E606" s="19"/>
      <c r="F606" s="19"/>
      <c r="G606" s="19"/>
      <c r="H606" s="19"/>
    </row>
    <row r="607" spans="1:8" x14ac:dyDescent="0.25">
      <c r="A607" s="15"/>
      <c r="B607" s="19"/>
      <c r="C607" s="19"/>
      <c r="D607" s="19"/>
      <c r="E607" s="19"/>
      <c r="F607" s="19"/>
      <c r="G607" s="19"/>
      <c r="H607" s="19"/>
    </row>
    <row r="608" spans="1:8" x14ac:dyDescent="0.25">
      <c r="A608" s="15"/>
      <c r="B608" s="19"/>
      <c r="C608" s="19"/>
      <c r="D608" s="19"/>
      <c r="E608" s="19"/>
      <c r="F608" s="19"/>
      <c r="G608" s="19"/>
      <c r="H608" s="19"/>
    </row>
    <row r="609" spans="1:8" x14ac:dyDescent="0.25">
      <c r="A609" s="15"/>
      <c r="B609" s="19"/>
      <c r="C609" s="19"/>
      <c r="D609" s="19"/>
      <c r="E609" s="19"/>
      <c r="F609" s="19"/>
      <c r="G609" s="19"/>
      <c r="H609" s="19"/>
    </row>
    <row r="610" spans="1:8" x14ac:dyDescent="0.25">
      <c r="A610" s="15"/>
      <c r="B610" s="19"/>
      <c r="C610" s="19"/>
      <c r="D610" s="19"/>
      <c r="E610" s="19"/>
      <c r="F610" s="19"/>
      <c r="G610" s="19"/>
      <c r="H610" s="19"/>
    </row>
    <row r="611" spans="1:8" x14ac:dyDescent="0.25">
      <c r="A611" s="15"/>
      <c r="B611" s="19"/>
      <c r="C611" s="19"/>
      <c r="D611" s="19"/>
      <c r="E611" s="19"/>
      <c r="F611" s="19"/>
      <c r="G611" s="19"/>
      <c r="H611" s="19"/>
    </row>
    <row r="612" spans="1:8" x14ac:dyDescent="0.25">
      <c r="A612" s="15"/>
      <c r="B612" s="19"/>
      <c r="C612" s="19"/>
      <c r="D612" s="19"/>
      <c r="E612" s="19"/>
      <c r="F612" s="19"/>
      <c r="G612" s="19"/>
      <c r="H612" s="19"/>
    </row>
    <row r="613" spans="1:8" x14ac:dyDescent="0.25">
      <c r="A613" s="15"/>
      <c r="B613" s="19"/>
      <c r="C613" s="19"/>
      <c r="D613" s="19"/>
      <c r="E613" s="19"/>
      <c r="F613" s="19"/>
      <c r="G613" s="19"/>
      <c r="H613" s="19"/>
    </row>
    <row r="614" spans="1:8" x14ac:dyDescent="0.25">
      <c r="A614" s="15"/>
      <c r="B614" s="19"/>
      <c r="C614" s="19"/>
      <c r="D614" s="19"/>
      <c r="E614" s="19"/>
      <c r="F614" s="19"/>
      <c r="G614" s="19"/>
      <c r="H614" s="19"/>
    </row>
    <row r="615" spans="1:8" x14ac:dyDescent="0.25">
      <c r="A615" s="15"/>
      <c r="B615" s="19"/>
      <c r="C615" s="19"/>
      <c r="D615" s="19"/>
      <c r="E615" s="19"/>
      <c r="F615" s="19"/>
      <c r="G615" s="19"/>
      <c r="H615" s="19"/>
    </row>
    <row r="616" spans="1:8" x14ac:dyDescent="0.25">
      <c r="A616" s="15"/>
      <c r="B616" s="19"/>
      <c r="C616" s="19"/>
      <c r="D616" s="19"/>
      <c r="E616" s="19"/>
      <c r="F616" s="19"/>
      <c r="G616" s="19"/>
      <c r="H616" s="19"/>
    </row>
    <row r="617" spans="1:8" x14ac:dyDescent="0.25">
      <c r="A617" s="15"/>
      <c r="B617" s="19"/>
      <c r="C617" s="19"/>
      <c r="D617" s="19"/>
      <c r="E617" s="19"/>
      <c r="F617" s="19"/>
      <c r="G617" s="19"/>
      <c r="H617" s="19"/>
    </row>
    <row r="618" spans="1:8" x14ac:dyDescent="0.25">
      <c r="A618" s="15"/>
      <c r="B618" s="19"/>
      <c r="C618" s="19"/>
      <c r="D618" s="19"/>
      <c r="E618" s="19"/>
      <c r="F618" s="19"/>
      <c r="G618" s="19"/>
      <c r="H618" s="19"/>
    </row>
    <row r="619" spans="1:8" x14ac:dyDescent="0.25">
      <c r="A619" s="15"/>
      <c r="B619" s="19"/>
      <c r="C619" s="19"/>
      <c r="D619" s="19"/>
      <c r="E619" s="19"/>
      <c r="F619" s="19"/>
      <c r="G619" s="19"/>
      <c r="H619" s="19"/>
    </row>
    <row r="620" spans="1:8" x14ac:dyDescent="0.25">
      <c r="A620" s="15"/>
      <c r="B620" s="19"/>
      <c r="C620" s="19"/>
      <c r="D620" s="19"/>
      <c r="E620" s="19"/>
      <c r="F620" s="19"/>
      <c r="G620" s="19"/>
      <c r="H620" s="19"/>
    </row>
    <row r="621" spans="1:8" x14ac:dyDescent="0.25">
      <c r="A621" s="15"/>
      <c r="B621" s="19"/>
      <c r="C621" s="19"/>
      <c r="D621" s="19"/>
      <c r="E621" s="19"/>
      <c r="F621" s="19"/>
      <c r="G621" s="19"/>
      <c r="H621" s="19"/>
    </row>
    <row r="622" spans="1:8" x14ac:dyDescent="0.25">
      <c r="A622" s="15"/>
      <c r="B622" s="19"/>
      <c r="C622" s="19"/>
      <c r="D622" s="19"/>
      <c r="E622" s="19"/>
      <c r="F622" s="19"/>
      <c r="G622" s="19"/>
      <c r="H622" s="19"/>
    </row>
    <row r="623" spans="1:8" x14ac:dyDescent="0.25">
      <c r="A623" s="15"/>
      <c r="B623" s="19"/>
      <c r="C623" s="19"/>
      <c r="D623" s="19"/>
      <c r="E623" s="19"/>
      <c r="F623" s="19"/>
      <c r="G623" s="19"/>
      <c r="H623" s="19"/>
    </row>
    <row r="624" spans="1:8" x14ac:dyDescent="0.25">
      <c r="A624" s="15"/>
      <c r="B624" s="19"/>
      <c r="C624" s="19"/>
      <c r="D624" s="19"/>
      <c r="E624" s="19"/>
      <c r="F624" s="19"/>
      <c r="G624" s="19"/>
      <c r="H624" s="19"/>
    </row>
    <row r="625" spans="1:8" x14ac:dyDescent="0.25">
      <c r="A625" s="15"/>
      <c r="B625" s="19"/>
      <c r="C625" s="19"/>
      <c r="D625" s="19"/>
      <c r="E625" s="19"/>
      <c r="F625" s="19"/>
      <c r="G625" s="19"/>
      <c r="H625" s="19"/>
    </row>
    <row r="626" spans="1:8" x14ac:dyDescent="0.25">
      <c r="A626" s="15"/>
      <c r="B626" s="19"/>
      <c r="C626" s="19"/>
      <c r="D626" s="19"/>
      <c r="E626" s="19"/>
      <c r="F626" s="19"/>
      <c r="G626" s="19"/>
      <c r="H626" s="19"/>
    </row>
    <row r="627" spans="1:8" x14ac:dyDescent="0.25">
      <c r="A627" s="15"/>
      <c r="B627" s="19"/>
      <c r="C627" s="19"/>
      <c r="D627" s="19"/>
      <c r="E627" s="19"/>
      <c r="F627" s="19"/>
      <c r="G627" s="19"/>
      <c r="H627" s="19"/>
    </row>
    <row r="628" spans="1:8" x14ac:dyDescent="0.25">
      <c r="A628" s="15"/>
      <c r="B628" s="19"/>
      <c r="C628" s="19"/>
      <c r="D628" s="19"/>
      <c r="E628" s="19"/>
      <c r="F628" s="19"/>
      <c r="G628" s="19"/>
      <c r="H628" s="19"/>
    </row>
    <row r="629" spans="1:8" x14ac:dyDescent="0.25">
      <c r="A629" s="15"/>
      <c r="B629" s="19"/>
      <c r="C629" s="19"/>
      <c r="D629" s="19"/>
      <c r="E629" s="19"/>
      <c r="F629" s="19"/>
      <c r="G629" s="19"/>
      <c r="H629" s="19"/>
    </row>
    <row r="630" spans="1:8" x14ac:dyDescent="0.25">
      <c r="A630" s="15"/>
      <c r="B630" s="19"/>
      <c r="C630" s="19"/>
      <c r="D630" s="19"/>
      <c r="E630" s="19"/>
      <c r="F630" s="19"/>
      <c r="G630" s="19"/>
      <c r="H630" s="19"/>
    </row>
    <row r="631" spans="1:8" x14ac:dyDescent="0.25">
      <c r="A631" s="15"/>
      <c r="B631" s="19"/>
      <c r="C631" s="19"/>
      <c r="D631" s="19"/>
      <c r="E631" s="19"/>
      <c r="F631" s="19"/>
      <c r="G631" s="19"/>
      <c r="H631" s="19"/>
    </row>
    <row r="632" spans="1:8" x14ac:dyDescent="0.25">
      <c r="A632" s="15"/>
      <c r="B632" s="19"/>
      <c r="C632" s="19"/>
      <c r="D632" s="19"/>
      <c r="E632" s="19"/>
      <c r="F632" s="19"/>
      <c r="G632" s="19"/>
      <c r="H632" s="19"/>
    </row>
    <row r="633" spans="1:8" x14ac:dyDescent="0.25">
      <c r="A633" s="15"/>
      <c r="B633" s="19"/>
      <c r="C633" s="19"/>
      <c r="D633" s="19"/>
      <c r="E633" s="19"/>
      <c r="F633" s="19"/>
      <c r="G633" s="19"/>
      <c r="H633" s="19"/>
    </row>
    <row r="634" spans="1:8" x14ac:dyDescent="0.25">
      <c r="A634" s="15"/>
      <c r="B634" s="19"/>
      <c r="C634" s="19"/>
      <c r="D634" s="19"/>
      <c r="E634" s="19"/>
      <c r="F634" s="19"/>
      <c r="G634" s="19"/>
      <c r="H634" s="19"/>
    </row>
    <row r="635" spans="1:8" x14ac:dyDescent="0.25">
      <c r="A635" s="15"/>
      <c r="B635" s="19"/>
      <c r="C635" s="19"/>
      <c r="D635" s="19"/>
      <c r="E635" s="19"/>
      <c r="F635" s="19"/>
      <c r="G635" s="19"/>
      <c r="H635" s="19"/>
    </row>
    <row r="636" spans="1:8" x14ac:dyDescent="0.25">
      <c r="A636" s="15"/>
      <c r="B636" s="19"/>
      <c r="C636" s="19"/>
      <c r="D636" s="19"/>
      <c r="E636" s="19"/>
      <c r="F636" s="19"/>
      <c r="G636" s="19"/>
      <c r="H636" s="19"/>
    </row>
    <row r="637" spans="1:8" x14ac:dyDescent="0.25">
      <c r="A637" s="15"/>
      <c r="B637" s="19"/>
      <c r="C637" s="19"/>
      <c r="D637" s="19"/>
      <c r="E637" s="19"/>
      <c r="F637" s="19"/>
      <c r="G637" s="19"/>
      <c r="H637" s="19"/>
    </row>
    <row r="638" spans="1:8" x14ac:dyDescent="0.25">
      <c r="A638" s="15"/>
      <c r="B638" s="19"/>
      <c r="C638" s="19"/>
      <c r="D638" s="19"/>
      <c r="E638" s="19"/>
      <c r="F638" s="19"/>
      <c r="G638" s="19"/>
      <c r="H638" s="19"/>
    </row>
    <row r="639" spans="1:8" x14ac:dyDescent="0.25">
      <c r="A639" s="15"/>
      <c r="B639" s="19"/>
      <c r="C639" s="19"/>
      <c r="D639" s="19"/>
      <c r="E639" s="19"/>
      <c r="F639" s="19"/>
      <c r="G639" s="19"/>
      <c r="H639" s="19"/>
    </row>
    <row r="640" spans="1:8" x14ac:dyDescent="0.25">
      <c r="A640" s="15"/>
      <c r="B640" s="19"/>
      <c r="C640" s="19"/>
      <c r="D640" s="19"/>
      <c r="E640" s="19"/>
      <c r="F640" s="19"/>
      <c r="G640" s="19"/>
      <c r="H640" s="19"/>
    </row>
    <row r="641" spans="1:8" x14ac:dyDescent="0.25">
      <c r="A641" s="15"/>
      <c r="B641" s="19"/>
      <c r="C641" s="19"/>
      <c r="D641" s="19"/>
      <c r="E641" s="19"/>
      <c r="F641" s="19"/>
      <c r="G641" s="19"/>
      <c r="H641" s="19"/>
    </row>
    <row r="642" spans="1:8" x14ac:dyDescent="0.25">
      <c r="A642" s="15"/>
      <c r="B642" s="19"/>
      <c r="C642" s="19"/>
      <c r="D642" s="19"/>
      <c r="E642" s="19"/>
      <c r="F642" s="19"/>
      <c r="G642" s="19"/>
      <c r="H642" s="19"/>
    </row>
    <row r="643" spans="1:8" x14ac:dyDescent="0.25">
      <c r="A643" s="15"/>
      <c r="B643" s="19"/>
      <c r="C643" s="19"/>
      <c r="D643" s="19"/>
      <c r="E643" s="19"/>
      <c r="F643" s="19"/>
      <c r="G643" s="19"/>
      <c r="H643" s="19"/>
    </row>
    <row r="644" spans="1:8" x14ac:dyDescent="0.25">
      <c r="A644" s="15"/>
      <c r="B644" s="19"/>
      <c r="C644" s="19"/>
      <c r="D644" s="19"/>
      <c r="E644" s="19"/>
      <c r="F644" s="19"/>
      <c r="G644" s="19"/>
      <c r="H644" s="19"/>
    </row>
    <row r="645" spans="1:8" x14ac:dyDescent="0.25">
      <c r="A645" s="15"/>
      <c r="B645" s="19"/>
      <c r="C645" s="19"/>
      <c r="D645" s="19"/>
      <c r="E645" s="19"/>
      <c r="F645" s="19"/>
      <c r="G645" s="19"/>
      <c r="H645" s="19"/>
    </row>
    <row r="646" spans="1:8" x14ac:dyDescent="0.25">
      <c r="A646" s="15"/>
      <c r="B646" s="19"/>
      <c r="C646" s="19"/>
      <c r="D646" s="19"/>
      <c r="E646" s="19"/>
      <c r="F646" s="19"/>
      <c r="G646" s="19"/>
      <c r="H646" s="19"/>
    </row>
    <row r="647" spans="1:8" x14ac:dyDescent="0.25">
      <c r="A647" s="15"/>
      <c r="B647" s="19"/>
      <c r="C647" s="19"/>
      <c r="D647" s="19"/>
      <c r="E647" s="19"/>
      <c r="F647" s="19"/>
      <c r="G647" s="19"/>
      <c r="H647" s="19"/>
    </row>
    <row r="648" spans="1:8" x14ac:dyDescent="0.25">
      <c r="A648" s="15"/>
      <c r="B648" s="19"/>
      <c r="C648" s="19"/>
      <c r="D648" s="19"/>
      <c r="E648" s="19"/>
      <c r="F648" s="19"/>
      <c r="G648" s="19"/>
      <c r="H648" s="19"/>
    </row>
    <row r="649" spans="1:8" x14ac:dyDescent="0.25">
      <c r="A649" s="15"/>
      <c r="B649" s="19"/>
      <c r="C649" s="19"/>
      <c r="D649" s="19"/>
      <c r="E649" s="19"/>
      <c r="F649" s="19"/>
      <c r="G649" s="19"/>
      <c r="H649" s="19"/>
    </row>
    <row r="650" spans="1:8" x14ac:dyDescent="0.25">
      <c r="A650" s="15"/>
      <c r="B650" s="19"/>
      <c r="C650" s="19"/>
      <c r="D650" s="19"/>
      <c r="E650" s="19"/>
      <c r="F650" s="19"/>
      <c r="G650" s="19"/>
      <c r="H650" s="19"/>
    </row>
    <row r="651" spans="1:8" x14ac:dyDescent="0.25">
      <c r="A651" s="15"/>
      <c r="B651" s="19"/>
      <c r="C651" s="19"/>
      <c r="D651" s="19"/>
      <c r="E651" s="19"/>
      <c r="F651" s="19"/>
      <c r="G651" s="19"/>
      <c r="H651" s="19"/>
    </row>
    <row r="652" spans="1:8" x14ac:dyDescent="0.25">
      <c r="A652" s="15"/>
      <c r="B652" s="19"/>
      <c r="C652" s="19"/>
      <c r="D652" s="19"/>
      <c r="E652" s="19"/>
      <c r="F652" s="19"/>
      <c r="G652" s="19"/>
      <c r="H652" s="19"/>
    </row>
    <row r="653" spans="1:8" x14ac:dyDescent="0.25">
      <c r="A653" s="15"/>
      <c r="B653" s="19"/>
      <c r="C653" s="19"/>
      <c r="D653" s="19"/>
      <c r="E653" s="19"/>
      <c r="F653" s="19"/>
      <c r="G653" s="19"/>
      <c r="H653" s="19"/>
    </row>
    <row r="654" spans="1:8" x14ac:dyDescent="0.25">
      <c r="A654" s="15"/>
      <c r="B654" s="19"/>
      <c r="C654" s="19"/>
      <c r="D654" s="19"/>
      <c r="E654" s="19"/>
      <c r="F654" s="19"/>
      <c r="G654" s="19"/>
      <c r="H654" s="19"/>
    </row>
    <row r="655" spans="1:8" x14ac:dyDescent="0.25">
      <c r="A655" s="15"/>
      <c r="B655" s="19"/>
      <c r="C655" s="19"/>
      <c r="D655" s="19"/>
      <c r="E655" s="19"/>
      <c r="F655" s="19"/>
      <c r="G655" s="19"/>
      <c r="H655" s="19"/>
    </row>
    <row r="656" spans="1:8" x14ac:dyDescent="0.25">
      <c r="A656" s="15"/>
      <c r="B656" s="19"/>
      <c r="C656" s="19"/>
      <c r="D656" s="19"/>
      <c r="E656" s="19"/>
      <c r="F656" s="19"/>
      <c r="G656" s="19"/>
      <c r="H656" s="19"/>
    </row>
    <row r="657" spans="1:8" x14ac:dyDescent="0.25">
      <c r="A657" s="15"/>
      <c r="B657" s="19"/>
      <c r="C657" s="19"/>
      <c r="D657" s="19"/>
      <c r="E657" s="19"/>
      <c r="F657" s="19"/>
      <c r="G657" s="19"/>
      <c r="H657" s="19"/>
    </row>
    <row r="658" spans="1:8" x14ac:dyDescent="0.25">
      <c r="A658" s="15"/>
      <c r="B658" s="19"/>
      <c r="C658" s="19"/>
      <c r="D658" s="19"/>
      <c r="E658" s="19"/>
      <c r="F658" s="19"/>
      <c r="G658" s="19"/>
      <c r="H658" s="19"/>
    </row>
    <row r="659" spans="1:8" x14ac:dyDescent="0.25">
      <c r="A659" s="15"/>
      <c r="B659" s="19"/>
      <c r="C659" s="19"/>
      <c r="D659" s="19"/>
      <c r="E659" s="19"/>
      <c r="F659" s="19"/>
      <c r="G659" s="19"/>
      <c r="H659" s="19"/>
    </row>
    <row r="660" spans="1:8" x14ac:dyDescent="0.25">
      <c r="A660" s="15"/>
      <c r="B660" s="19"/>
      <c r="C660" s="19"/>
      <c r="D660" s="19"/>
      <c r="E660" s="19"/>
      <c r="F660" s="19"/>
      <c r="G660" s="19"/>
      <c r="H660" s="19"/>
    </row>
    <row r="661" spans="1:8" x14ac:dyDescent="0.25">
      <c r="A661" s="15"/>
      <c r="B661" s="19"/>
      <c r="C661" s="19"/>
      <c r="D661" s="19"/>
      <c r="E661" s="19"/>
      <c r="F661" s="19"/>
      <c r="G661" s="19"/>
      <c r="H661" s="19"/>
    </row>
    <row r="662" spans="1:8" x14ac:dyDescent="0.25">
      <c r="A662" s="15"/>
      <c r="B662" s="19"/>
      <c r="C662" s="19"/>
      <c r="D662" s="19"/>
      <c r="E662" s="19"/>
      <c r="F662" s="19"/>
      <c r="G662" s="19"/>
      <c r="H662" s="19"/>
    </row>
    <row r="663" spans="1:8" x14ac:dyDescent="0.25">
      <c r="A663" s="15"/>
      <c r="B663" s="19"/>
      <c r="C663" s="19"/>
      <c r="D663" s="19"/>
      <c r="E663" s="19"/>
      <c r="F663" s="19"/>
      <c r="G663" s="19"/>
      <c r="H663" s="19"/>
    </row>
    <row r="664" spans="1:8" x14ac:dyDescent="0.25">
      <c r="A664" s="15"/>
      <c r="B664" s="19"/>
      <c r="C664" s="19"/>
      <c r="D664" s="19"/>
      <c r="E664" s="19"/>
      <c r="F664" s="19"/>
      <c r="G664" s="19"/>
      <c r="H664" s="19"/>
    </row>
    <row r="665" spans="1:8" x14ac:dyDescent="0.25">
      <c r="A665" s="15"/>
      <c r="B665" s="19"/>
      <c r="C665" s="19"/>
      <c r="D665" s="19"/>
      <c r="E665" s="19"/>
      <c r="F665" s="19"/>
      <c r="G665" s="19"/>
      <c r="H665" s="19"/>
    </row>
    <row r="666" spans="1:8" x14ac:dyDescent="0.25">
      <c r="A666" s="15"/>
      <c r="B666" s="19"/>
      <c r="C666" s="19"/>
      <c r="D666" s="19"/>
      <c r="E666" s="19"/>
      <c r="F666" s="19"/>
      <c r="G666" s="19"/>
      <c r="H666" s="19"/>
    </row>
    <row r="667" spans="1:8" x14ac:dyDescent="0.25">
      <c r="A667" s="15"/>
      <c r="B667" s="19"/>
      <c r="C667" s="19"/>
      <c r="D667" s="19"/>
      <c r="E667" s="19"/>
      <c r="F667" s="19"/>
      <c r="G667" s="19"/>
      <c r="H667" s="19"/>
    </row>
    <row r="668" spans="1:8" x14ac:dyDescent="0.25">
      <c r="A668" s="15"/>
      <c r="B668" s="19"/>
      <c r="C668" s="19"/>
      <c r="D668" s="19"/>
      <c r="E668" s="19"/>
      <c r="F668" s="19"/>
      <c r="G668" s="19"/>
      <c r="H668" s="19"/>
    </row>
    <row r="669" spans="1:8" x14ac:dyDescent="0.25">
      <c r="A669" s="15"/>
      <c r="B669" s="19"/>
      <c r="C669" s="19"/>
      <c r="D669" s="19"/>
      <c r="E669" s="19"/>
      <c r="F669" s="19"/>
      <c r="G669" s="19"/>
      <c r="H669" s="19"/>
    </row>
    <row r="670" spans="1:8" x14ac:dyDescent="0.25">
      <c r="A670" s="15"/>
      <c r="B670" s="19"/>
      <c r="C670" s="19"/>
      <c r="D670" s="19"/>
      <c r="E670" s="19"/>
      <c r="F670" s="19"/>
      <c r="G670" s="19"/>
      <c r="H670" s="19"/>
    </row>
    <row r="671" spans="1:8" x14ac:dyDescent="0.25">
      <c r="A671" s="15"/>
      <c r="B671" s="19"/>
      <c r="C671" s="19"/>
      <c r="D671" s="19"/>
      <c r="E671" s="19"/>
      <c r="F671" s="19"/>
      <c r="G671" s="19"/>
      <c r="H671" s="19"/>
    </row>
    <row r="672" spans="1:8" x14ac:dyDescent="0.25">
      <c r="A672" s="15"/>
      <c r="B672" s="19"/>
      <c r="C672" s="19"/>
      <c r="D672" s="19"/>
      <c r="E672" s="19"/>
      <c r="F672" s="19"/>
      <c r="G672" s="19"/>
      <c r="H672" s="19"/>
    </row>
    <row r="673" spans="1:8" x14ac:dyDescent="0.25">
      <c r="A673" s="15"/>
      <c r="B673" s="19"/>
      <c r="C673" s="19"/>
      <c r="D673" s="19"/>
      <c r="E673" s="19"/>
      <c r="F673" s="19"/>
      <c r="G673" s="19"/>
      <c r="H673" s="19"/>
    </row>
    <row r="674" spans="1:8" x14ac:dyDescent="0.25">
      <c r="A674" s="15"/>
      <c r="B674" s="19"/>
      <c r="C674" s="19"/>
      <c r="D674" s="19"/>
      <c r="E674" s="19"/>
      <c r="F674" s="19"/>
      <c r="G674" s="19"/>
      <c r="H674" s="19"/>
    </row>
    <row r="675" spans="1:8" x14ac:dyDescent="0.25">
      <c r="A675" s="15"/>
      <c r="B675" s="19"/>
      <c r="C675" s="19"/>
      <c r="D675" s="19"/>
      <c r="E675" s="19"/>
      <c r="F675" s="19"/>
      <c r="G675" s="19"/>
      <c r="H675" s="19"/>
    </row>
    <row r="676" spans="1:8" x14ac:dyDescent="0.25">
      <c r="A676" s="15"/>
      <c r="B676" s="19"/>
      <c r="C676" s="19"/>
      <c r="D676" s="19"/>
      <c r="E676" s="19"/>
      <c r="F676" s="19"/>
      <c r="G676" s="19"/>
      <c r="H676" s="19"/>
    </row>
    <row r="677" spans="1:8" x14ac:dyDescent="0.25">
      <c r="A677" s="15"/>
      <c r="B677" s="19"/>
      <c r="C677" s="19"/>
      <c r="D677" s="19"/>
      <c r="E677" s="19"/>
      <c r="F677" s="19"/>
      <c r="G677" s="19"/>
      <c r="H677" s="19"/>
    </row>
    <row r="678" spans="1:8" x14ac:dyDescent="0.25">
      <c r="A678" s="15"/>
      <c r="B678" s="19"/>
      <c r="C678" s="19"/>
      <c r="D678" s="19"/>
      <c r="E678" s="19"/>
      <c r="F678" s="19"/>
      <c r="G678" s="19"/>
      <c r="H678" s="19"/>
    </row>
    <row r="679" spans="1:8" x14ac:dyDescent="0.25">
      <c r="A679" s="15"/>
      <c r="B679" s="19"/>
      <c r="C679" s="19"/>
      <c r="D679" s="19"/>
      <c r="E679" s="19"/>
      <c r="F679" s="19"/>
      <c r="G679" s="19"/>
      <c r="H679" s="19"/>
    </row>
    <row r="680" spans="1:8" x14ac:dyDescent="0.25">
      <c r="A680" s="15"/>
      <c r="B680" s="19"/>
      <c r="C680" s="19"/>
      <c r="D680" s="19"/>
      <c r="E680" s="19"/>
      <c r="F680" s="19"/>
      <c r="G680" s="19"/>
      <c r="H680" s="19"/>
    </row>
    <row r="681" spans="1:8" x14ac:dyDescent="0.25">
      <c r="A681" s="15"/>
      <c r="B681" s="19"/>
      <c r="C681" s="19"/>
      <c r="D681" s="19"/>
      <c r="E681" s="19"/>
      <c r="F681" s="19"/>
      <c r="G681" s="19"/>
      <c r="H681" s="19"/>
    </row>
    <row r="682" spans="1:8" x14ac:dyDescent="0.25">
      <c r="A682" s="15"/>
      <c r="B682" s="19"/>
      <c r="C682" s="19"/>
      <c r="D682" s="19"/>
      <c r="E682" s="19"/>
      <c r="F682" s="19"/>
      <c r="G682" s="19"/>
      <c r="H682" s="19"/>
    </row>
    <row r="683" spans="1:8" x14ac:dyDescent="0.25">
      <c r="A683" s="15"/>
      <c r="B683" s="19"/>
      <c r="C683" s="19"/>
      <c r="D683" s="19"/>
      <c r="E683" s="19"/>
      <c r="F683" s="19"/>
      <c r="G683" s="19"/>
      <c r="H683" s="19"/>
    </row>
    <row r="684" spans="1:8" x14ac:dyDescent="0.25">
      <c r="A684" s="15"/>
      <c r="B684" s="19"/>
      <c r="C684" s="19"/>
      <c r="D684" s="19"/>
      <c r="E684" s="19"/>
      <c r="F684" s="19"/>
      <c r="G684" s="19"/>
      <c r="H684" s="19"/>
    </row>
    <row r="685" spans="1:8" x14ac:dyDescent="0.25">
      <c r="A685" s="15"/>
      <c r="B685" s="19"/>
      <c r="C685" s="19"/>
      <c r="D685" s="19"/>
      <c r="E685" s="19"/>
      <c r="F685" s="19"/>
      <c r="G685" s="19"/>
      <c r="H685" s="19"/>
    </row>
    <row r="686" spans="1:8" x14ac:dyDescent="0.25">
      <c r="A686" s="15"/>
      <c r="B686" s="19"/>
      <c r="C686" s="19"/>
      <c r="D686" s="19"/>
      <c r="E686" s="19"/>
      <c r="F686" s="19"/>
      <c r="G686" s="19"/>
      <c r="H686" s="19"/>
    </row>
    <row r="687" spans="1:8" x14ac:dyDescent="0.25">
      <c r="A687" s="15"/>
      <c r="B687" s="19"/>
      <c r="C687" s="19"/>
      <c r="D687" s="19"/>
      <c r="E687" s="19"/>
      <c r="F687" s="19"/>
      <c r="G687" s="19"/>
      <c r="H687" s="19"/>
    </row>
    <row r="688" spans="1:8" x14ac:dyDescent="0.25">
      <c r="A688" s="15"/>
      <c r="B688" s="19"/>
      <c r="C688" s="19"/>
      <c r="D688" s="19"/>
      <c r="E688" s="19"/>
      <c r="F688" s="19"/>
      <c r="G688" s="19"/>
      <c r="H688" s="19"/>
    </row>
    <row r="689" spans="1:8" x14ac:dyDescent="0.25">
      <c r="A689" s="15"/>
      <c r="B689" s="19"/>
      <c r="C689" s="19"/>
      <c r="D689" s="19"/>
      <c r="E689" s="19"/>
      <c r="F689" s="19"/>
      <c r="G689" s="19"/>
      <c r="H689" s="19"/>
    </row>
    <row r="690" spans="1:8" x14ac:dyDescent="0.25">
      <c r="A690" s="15"/>
      <c r="B690" s="19"/>
      <c r="C690" s="19"/>
      <c r="D690" s="19"/>
      <c r="E690" s="19"/>
      <c r="F690" s="19"/>
      <c r="G690" s="19"/>
      <c r="H690" s="19"/>
    </row>
    <row r="691" spans="1:8" x14ac:dyDescent="0.25">
      <c r="A691" s="15"/>
      <c r="B691" s="19"/>
      <c r="C691" s="19"/>
      <c r="D691" s="19"/>
      <c r="E691" s="19"/>
      <c r="F691" s="19"/>
      <c r="G691" s="19"/>
      <c r="H691" s="19"/>
    </row>
    <row r="692" spans="1:8" x14ac:dyDescent="0.25">
      <c r="A692" s="15"/>
      <c r="B692" s="19"/>
      <c r="C692" s="19"/>
      <c r="D692" s="19"/>
      <c r="E692" s="19"/>
      <c r="F692" s="19"/>
      <c r="G692" s="19"/>
      <c r="H692" s="19"/>
    </row>
    <row r="693" spans="1:8" x14ac:dyDescent="0.25">
      <c r="A693" s="15"/>
      <c r="B693" s="19"/>
      <c r="C693" s="19"/>
      <c r="D693" s="19"/>
      <c r="E693" s="19"/>
      <c r="F693" s="19"/>
      <c r="G693" s="19"/>
      <c r="H693" s="19"/>
    </row>
    <row r="694" spans="1:8" x14ac:dyDescent="0.25">
      <c r="A694" s="15"/>
      <c r="B694" s="19"/>
      <c r="C694" s="19"/>
      <c r="D694" s="19"/>
      <c r="E694" s="19"/>
      <c r="F694" s="19"/>
      <c r="G694" s="19"/>
      <c r="H694" s="19"/>
    </row>
    <row r="695" spans="1:8" x14ac:dyDescent="0.25">
      <c r="A695" s="15"/>
      <c r="B695" s="19"/>
      <c r="C695" s="19"/>
      <c r="D695" s="19"/>
      <c r="E695" s="19"/>
      <c r="F695" s="19"/>
      <c r="G695" s="19"/>
      <c r="H695" s="19"/>
    </row>
    <row r="696" spans="1:8" x14ac:dyDescent="0.25">
      <c r="A696" s="15"/>
      <c r="B696" s="19"/>
      <c r="C696" s="19"/>
      <c r="D696" s="19"/>
      <c r="E696" s="19"/>
      <c r="F696" s="19"/>
      <c r="G696" s="19"/>
      <c r="H696" s="19"/>
    </row>
    <row r="697" spans="1:8" x14ac:dyDescent="0.25">
      <c r="A697" s="15"/>
      <c r="B697" s="19"/>
      <c r="C697" s="19"/>
      <c r="D697" s="19"/>
      <c r="E697" s="19"/>
      <c r="F697" s="19"/>
      <c r="G697" s="19"/>
      <c r="H697" s="19"/>
    </row>
    <row r="698" spans="1:8" x14ac:dyDescent="0.25">
      <c r="A698" s="15"/>
      <c r="B698" s="19"/>
      <c r="C698" s="19"/>
      <c r="D698" s="19"/>
      <c r="E698" s="19"/>
      <c r="F698" s="19"/>
      <c r="G698" s="19"/>
      <c r="H698" s="19"/>
    </row>
    <row r="699" spans="1:8" x14ac:dyDescent="0.25">
      <c r="A699" s="15"/>
      <c r="B699" s="19"/>
      <c r="C699" s="19"/>
      <c r="D699" s="19"/>
      <c r="E699" s="19"/>
      <c r="F699" s="19"/>
      <c r="G699" s="19"/>
      <c r="H699" s="1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lab3</vt:lpstr>
      <vt:lpstr>lab4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alius</cp:lastModifiedBy>
  <dcterms:modified xsi:type="dcterms:W3CDTF">2025-12-20T23:00:17Z</dcterms:modified>
</cp:coreProperties>
</file>